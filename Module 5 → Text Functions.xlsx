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8BDC664F-762F-43F7-813A-3B09176F0C9E}" xr6:coauthVersionLast="41" xr6:coauthVersionMax="41" xr10:uidLastSave="{00000000-0000-0000-0000-000000000000}"/>
  <bookViews>
    <workbookView xWindow="-108" yWindow="-108" windowWidth="23256" windowHeight="12456" activeTab="1" xr2:uid="{6B8D4184-F0DA-41A8-91E0-83EA8F879AE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3" l="1"/>
  <c r="C33" i="3"/>
  <c r="C30" i="3"/>
  <c r="C21" i="3"/>
  <c r="C20" i="3"/>
  <c r="C19" i="3"/>
  <c r="C12" i="3"/>
  <c r="C9" i="3"/>
  <c r="F86" i="2" l="1"/>
  <c r="F79" i="2"/>
  <c r="E79" i="2"/>
  <c r="F78" i="2"/>
  <c r="E78" i="2"/>
  <c r="F77" i="2"/>
  <c r="E77" i="2"/>
  <c r="F76" i="2"/>
  <c r="E76" i="2"/>
  <c r="F75" i="2"/>
  <c r="E75" i="2"/>
  <c r="I68" i="2"/>
  <c r="I69" i="2" s="1"/>
  <c r="I67" i="2"/>
  <c r="G56" i="2"/>
  <c r="G55" i="2"/>
  <c r="K43" i="2"/>
  <c r="K42" i="2"/>
  <c r="K29" i="2"/>
  <c r="K19" i="2"/>
  <c r="I87" i="1" l="1"/>
  <c r="I86" i="1"/>
  <c r="I85" i="1"/>
  <c r="I70" i="1"/>
  <c r="I69" i="1"/>
  <c r="I68" i="1"/>
  <c r="D49" i="1"/>
  <c r="D50" i="1"/>
  <c r="D51" i="1"/>
  <c r="D52" i="1"/>
  <c r="D48" i="1"/>
  <c r="I37" i="1"/>
  <c r="D21" i="1"/>
  <c r="D22" i="1"/>
  <c r="D23" i="1"/>
  <c r="D24" i="1"/>
  <c r="D20" i="1"/>
  <c r="I16" i="1"/>
</calcChain>
</file>

<file path=xl/sharedStrings.xml><?xml version="1.0" encoding="utf-8"?>
<sst xmlns="http://schemas.openxmlformats.org/spreadsheetml/2006/main" count="229" uniqueCount="160">
  <si>
    <t>Text Functions</t>
  </si>
  <si>
    <t>Text fucntion are used to work with text to change its appearance and some other usage.</t>
  </si>
  <si>
    <t>Some Functions are:</t>
  </si>
  <si>
    <t>UPPER</t>
  </si>
  <si>
    <t>LOWER</t>
  </si>
  <si>
    <t>CONCATENATE</t>
  </si>
  <si>
    <t>Concatenation operation (&amp;)</t>
  </si>
  <si>
    <t>UPPER() FUNCTION</t>
  </si>
  <si>
    <t>Description</t>
  </si>
  <si>
    <t>Returns the character in uppercase.</t>
  </si>
  <si>
    <t>Formula</t>
  </si>
  <si>
    <t xml:space="preserve"> =UPPER()</t>
  </si>
  <si>
    <t>EXAMPLE</t>
  </si>
  <si>
    <t>Ms excel</t>
  </si>
  <si>
    <t>Result</t>
  </si>
  <si>
    <t>EMPID</t>
  </si>
  <si>
    <t>Emp Name</t>
  </si>
  <si>
    <t>Names in Upper case</t>
  </si>
  <si>
    <t>Brain</t>
  </si>
  <si>
    <t>Monika</t>
  </si>
  <si>
    <t>Suman</t>
  </si>
  <si>
    <t>Joseph</t>
  </si>
  <si>
    <t>John</t>
  </si>
  <si>
    <t>BRAIN</t>
  </si>
  <si>
    <t>MONIKA</t>
  </si>
  <si>
    <t>SUMAN</t>
  </si>
  <si>
    <t>JOSEPH</t>
  </si>
  <si>
    <t>JOHN</t>
  </si>
  <si>
    <t>Now, Try to delete the original Emp Names.</t>
  </si>
  <si>
    <t>&gt; ctrl+C &gt; go to paste option &gt; paste value only.</t>
  </si>
  <si>
    <t>LOWER FUNCTION</t>
  </si>
  <si>
    <t>This function is used to convert the specified text to lowercase.</t>
  </si>
  <si>
    <t xml:space="preserve"> =LOWER()</t>
  </si>
  <si>
    <t>Returns the character in lowercase.</t>
  </si>
  <si>
    <t>HELLO</t>
  </si>
  <si>
    <t>PROPER FUNCTION</t>
  </si>
  <si>
    <t>Used to convert text to propercase (capitalizes the first letter of each word).</t>
  </si>
  <si>
    <t>FORMULA</t>
  </si>
  <si>
    <t xml:space="preserve"> =PROPER()</t>
  </si>
  <si>
    <t>BRAIN VERMA</t>
  </si>
  <si>
    <t>MONIKA KEMAARI</t>
  </si>
  <si>
    <t>SUMAN SHETTY</t>
  </si>
  <si>
    <t>JOSEPH DSOUZA</t>
  </si>
  <si>
    <t>JOHN DSOUZA</t>
  </si>
  <si>
    <t>Names in Proper case</t>
  </si>
  <si>
    <t>CONCATENATE FUNCTION</t>
  </si>
  <si>
    <t>This function is used to join two or more  text strings into one string</t>
  </si>
  <si>
    <t>syntax: CONCATENATE(text1,[text2], ..)</t>
  </si>
  <si>
    <t>text1: Required. Text item to be joined</t>
  </si>
  <si>
    <t>text2: Optional. Additional text items to join.</t>
  </si>
  <si>
    <t>EX:</t>
  </si>
  <si>
    <t>First Name</t>
  </si>
  <si>
    <t>Last Name</t>
  </si>
  <si>
    <t>Smith</t>
  </si>
  <si>
    <t>Joins first name and last name without any space.</t>
  </si>
  <si>
    <t>Joins first name and last name with a space.</t>
  </si>
  <si>
    <t>Joins first name and last name with a space and salutation.</t>
  </si>
  <si>
    <t xml:space="preserve"> =CONCATENATE(B65," ",C65)</t>
  </si>
  <si>
    <t xml:space="preserve"> =CONCATENATE(B65,C65)</t>
  </si>
  <si>
    <t xml:space="preserve"> =CONCATENATE("Mr. ",B65," ",C65)</t>
  </si>
  <si>
    <t>CONCATENATION OPERATOR (&amp;)</t>
  </si>
  <si>
    <t>The &amp; symbol works as same as concatenation operator. It joins multiple text strings or cell values into one string.</t>
  </si>
  <si>
    <t>but using the &amp; symbol you don't have to write any function name.</t>
  </si>
  <si>
    <t>Syntax: text1 &amp; text2</t>
  </si>
  <si>
    <t xml:space="preserve"> ="Mr. "&amp; B82 &amp;" "&amp; C82</t>
  </si>
  <si>
    <t xml:space="preserve"> =B82 &amp; C82</t>
  </si>
  <si>
    <t xml:space="preserve"> =B82 &amp;" "&amp; C82</t>
  </si>
  <si>
    <t>Text Functions Part 2</t>
  </si>
  <si>
    <t>Text function are used to work with text data to change its appearance and some other usage.</t>
  </si>
  <si>
    <t>Some functions are:</t>
  </si>
  <si>
    <t>LEFT</t>
  </si>
  <si>
    <t>RIGHT</t>
  </si>
  <si>
    <t>MID</t>
  </si>
  <si>
    <t>TRIM</t>
  </si>
  <si>
    <t>LEN</t>
  </si>
  <si>
    <t>LEFT Function</t>
  </si>
  <si>
    <t>it returns the left characters or characters in a text  string, based on the number of characters you specify.</t>
  </si>
  <si>
    <t>Syntax: LEFT(text, num_chars)</t>
  </si>
  <si>
    <t>Example</t>
  </si>
  <si>
    <t>Data</t>
  </si>
  <si>
    <t>Microsoft Excel</t>
  </si>
  <si>
    <t>Returns 5 characters from left side</t>
  </si>
  <si>
    <t xml:space="preserve"> =LEFT(B19,5)</t>
  </si>
  <si>
    <t>RIGHT Function</t>
  </si>
  <si>
    <t>it returns the right characters or characters in a text  string, based on the number of characters you specify.</t>
  </si>
  <si>
    <t>Syntax: RIGHT(text, num_chars)</t>
  </si>
  <si>
    <t>Returns 5 characters from right side</t>
  </si>
  <si>
    <t xml:space="preserve"> =RIGHT(B19,5)</t>
  </si>
  <si>
    <t>MID Function</t>
  </si>
  <si>
    <t>it retuns a specific number of characters from a string, starting at the position and based on the number of characters you specify.</t>
  </si>
  <si>
    <t>Syntax: MID(text, start_position, num_chars)</t>
  </si>
  <si>
    <t>text: contains a string</t>
  </si>
  <si>
    <t>start_position: is the position of the first character you want to extract from the string.</t>
  </si>
  <si>
    <t>num_chars: number of char you want to extract.</t>
  </si>
  <si>
    <t>Example:</t>
  </si>
  <si>
    <t>returns 4 char from 6th position</t>
  </si>
  <si>
    <t xml:space="preserve"> =MID(B42,6,4)</t>
  </si>
  <si>
    <t>returns 5 char from the 11th position</t>
  </si>
  <si>
    <t xml:space="preserve"> =MID(B42,11,5)</t>
  </si>
  <si>
    <t>TRIM Function</t>
  </si>
  <si>
    <t>used to remove extra spaces from text, leaving only single spaces between words.</t>
  </si>
  <si>
    <t>Syntax: TRIM(text)</t>
  </si>
  <si>
    <t>Microsoft    Excel    is      Amazing!</t>
  </si>
  <si>
    <t>Removes all extra spaces</t>
  </si>
  <si>
    <t xml:space="preserve"> =TRIM(C52)</t>
  </si>
  <si>
    <t xml:space="preserve"> =TRIM(("  Mr.     Bean"))</t>
  </si>
  <si>
    <t>LEN Function</t>
  </si>
  <si>
    <t>Used to count the number og character from the given string.</t>
  </si>
  <si>
    <t>Syntax: LEN(text)</t>
  </si>
  <si>
    <t xml:space="preserve">Example: </t>
  </si>
  <si>
    <t xml:space="preserve">Description </t>
  </si>
  <si>
    <t>Length of string</t>
  </si>
  <si>
    <t xml:space="preserve"> =LEN(D64)</t>
  </si>
  <si>
    <t>Remove extra spaces from the string</t>
  </si>
  <si>
    <t xml:space="preserve"> =TRIM(D64)</t>
  </si>
  <si>
    <t>Length of string after removing spaces</t>
  </si>
  <si>
    <t xml:space="preserve"> =LEN(I68)</t>
  </si>
  <si>
    <t>Some real life examples to understand the usage of the Text  function</t>
  </si>
  <si>
    <t>Emp ID</t>
  </si>
  <si>
    <t>Name Initials</t>
  </si>
  <si>
    <t>Last, First(Upper Case)</t>
  </si>
  <si>
    <t>Anitha</t>
  </si>
  <si>
    <t>Verma</t>
  </si>
  <si>
    <t>Sunil</t>
  </si>
  <si>
    <t>Kumar</t>
  </si>
  <si>
    <t>Milton</t>
  </si>
  <si>
    <t>Willian</t>
  </si>
  <si>
    <t>Wordsworth</t>
  </si>
  <si>
    <t>Steve</t>
  </si>
  <si>
    <t>Ex1</t>
  </si>
  <si>
    <t>A. V.</t>
  </si>
  <si>
    <t xml:space="preserve"> =CONCATENATE(LEFT((C75),1),"."," ",LEFT(D75,1),".")</t>
  </si>
  <si>
    <t>Ex2</t>
  </si>
  <si>
    <t xml:space="preserve"> =UPPER(CONCATENATE(D75,", ",C75))</t>
  </si>
  <si>
    <t>Advanced Text Function</t>
  </si>
  <si>
    <t>EXACT Function</t>
  </si>
  <si>
    <t xml:space="preserve">It compares two strings and trturns TRUE if they are extacly the same otherwise FALSE this function os case sensitive </t>
  </si>
  <si>
    <t>ex</t>
  </si>
  <si>
    <t>abc</t>
  </si>
  <si>
    <t>Syntax:</t>
  </si>
  <si>
    <t xml:space="preserve"> =EXACT(C7,D7)</t>
  </si>
  <si>
    <t>try it</t>
  </si>
  <si>
    <t>ABC</t>
  </si>
  <si>
    <t xml:space="preserve">try it: </t>
  </si>
  <si>
    <t>FIND FUNCTION</t>
  </si>
  <si>
    <t>FIND(find_text, within_text, [start_num])</t>
  </si>
  <si>
    <t>Intelligence</t>
  </si>
  <si>
    <t>try it:</t>
  </si>
  <si>
    <t xml:space="preserve"> =FIND("I",C18)</t>
  </si>
  <si>
    <t xml:space="preserve"> =FIND("e",C18)</t>
  </si>
  <si>
    <t xml:space="preserve"> =FIND("e",C18,5)</t>
  </si>
  <si>
    <t>SUBSTITUTE FUNCTION</t>
  </si>
  <si>
    <t>Used to replace text in a text string</t>
  </si>
  <si>
    <t>SUBSTITUTE(text, old_text, new_text, [instance_num])</t>
  </si>
  <si>
    <t>Data Analyst</t>
  </si>
  <si>
    <t>January 1, 2024</t>
  </si>
  <si>
    <t xml:space="preserve"> =SUBSTITUTE(C32,"1","2",1)</t>
  </si>
  <si>
    <t>January 1, 2021</t>
  </si>
  <si>
    <t>try iy:</t>
  </si>
  <si>
    <t xml:space="preserve"> =SUBSTITUTE(C35,"1","2",2)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</si>
</sst>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3" borderId="0" xfId="0" applyFill="1"/>
    <xf numFmtId="0" fontId="1" fillId="3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0" xfId="0" applyBorder="1" applyAlignment="1"/>
    <xf numFmtId="0" fontId="0" fillId="0" borderId="0" xfId="0" applyBorder="1"/>
    <xf numFmtId="0" fontId="1" fillId="0" borderId="1" xfId="0" applyFont="1" applyBorder="1" applyAlignment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1" fillId="0" borderId="0" xfId="0" applyFo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1" xfId="0" applyFill="1" applyBorder="1"/>
    <xf numFmtId="0" fontId="0" fillId="5" borderId="0" xfId="0" applyFill="1"/>
    <xf numFmtId="0" fontId="0" fillId="6" borderId="1" xfId="0" applyFill="1" applyBorder="1"/>
    <xf numFmtId="0" fontId="1" fillId="0" borderId="2" xfId="0" applyFont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CA3F-8F7C-400C-9F2B-7001ACFF2162}">
  <dimension ref="B2:J87"/>
  <sheetViews>
    <sheetView zoomScale="130" zoomScaleNormal="130" workbookViewId="0">
      <selection activeCell="D7" sqref="D7"/>
    </sheetView>
  </sheetViews>
  <sheetFormatPr defaultRowHeight="14.4" x14ac:dyDescent="0.3"/>
  <cols>
    <col min="2" max="2" width="12.109375" customWidth="1"/>
    <col min="3" max="3" width="16.6640625" customWidth="1"/>
    <col min="4" max="4" width="21.21875" customWidth="1"/>
    <col min="7" max="7" width="8.88671875" customWidth="1"/>
    <col min="8" max="8" width="11" customWidth="1"/>
  </cols>
  <sheetData>
    <row r="2" spans="2:9" x14ac:dyDescent="0.3">
      <c r="B2" s="1" t="s">
        <v>0</v>
      </c>
      <c r="C2" s="1"/>
    </row>
    <row r="4" spans="2:9" x14ac:dyDescent="0.3">
      <c r="B4" t="s">
        <v>1</v>
      </c>
    </row>
    <row r="6" spans="2:9" x14ac:dyDescent="0.3">
      <c r="B6" t="s">
        <v>2</v>
      </c>
    </row>
    <row r="7" spans="2:9" x14ac:dyDescent="0.3">
      <c r="B7" t="s">
        <v>3</v>
      </c>
    </row>
    <row r="8" spans="2:9" x14ac:dyDescent="0.3">
      <c r="B8" t="s">
        <v>4</v>
      </c>
    </row>
    <row r="9" spans="2:9" x14ac:dyDescent="0.3">
      <c r="B9" t="s">
        <v>5</v>
      </c>
    </row>
    <row r="10" spans="2:9" x14ac:dyDescent="0.3">
      <c r="B10" t="s">
        <v>6</v>
      </c>
    </row>
    <row r="13" spans="2:9" x14ac:dyDescent="0.3">
      <c r="B13" s="3" t="s">
        <v>7</v>
      </c>
      <c r="C13" s="3"/>
    </row>
    <row r="15" spans="2:9" x14ac:dyDescent="0.3">
      <c r="B15" s="18" t="s">
        <v>8</v>
      </c>
      <c r="C15" s="20"/>
      <c r="D15" s="20"/>
      <c r="E15" s="19"/>
      <c r="F15" s="18" t="s">
        <v>10</v>
      </c>
      <c r="G15" s="19"/>
      <c r="H15" s="6" t="s">
        <v>12</v>
      </c>
      <c r="I15" s="6" t="s">
        <v>14</v>
      </c>
    </row>
    <row r="16" spans="2:9" x14ac:dyDescent="0.3">
      <c r="B16" s="21" t="s">
        <v>9</v>
      </c>
      <c r="C16" s="22"/>
      <c r="D16" s="22"/>
      <c r="E16" s="23"/>
      <c r="F16" s="21" t="s">
        <v>11</v>
      </c>
      <c r="G16" s="23"/>
      <c r="H16" s="4" t="s">
        <v>13</v>
      </c>
      <c r="I16" s="4" t="str">
        <f>UPPER(H16)</f>
        <v>MS EXCEL</v>
      </c>
    </row>
    <row r="19" spans="2:7" x14ac:dyDescent="0.3">
      <c r="B19" s="6" t="s">
        <v>15</v>
      </c>
      <c r="C19" s="6" t="s">
        <v>16</v>
      </c>
      <c r="D19" s="9" t="s">
        <v>17</v>
      </c>
      <c r="E19" s="7"/>
      <c r="F19" s="24"/>
      <c r="G19" s="24"/>
    </row>
    <row r="20" spans="2:7" x14ac:dyDescent="0.3">
      <c r="B20" s="4">
        <v>101</v>
      </c>
      <c r="C20" s="4" t="s">
        <v>18</v>
      </c>
      <c r="D20" s="10" t="str">
        <f>UPPER(C20)</f>
        <v>BRAIN</v>
      </c>
      <c r="E20" s="8"/>
      <c r="F20" s="4" t="s">
        <v>23</v>
      </c>
      <c r="G20" s="8"/>
    </row>
    <row r="21" spans="2:7" x14ac:dyDescent="0.3">
      <c r="B21" s="4">
        <v>102</v>
      </c>
      <c r="C21" s="4" t="s">
        <v>19</v>
      </c>
      <c r="D21" s="10" t="str">
        <f t="shared" ref="D21:D24" si="0">UPPER(C21)</f>
        <v>MONIKA</v>
      </c>
      <c r="E21" s="8"/>
      <c r="F21" s="4" t="s">
        <v>24</v>
      </c>
      <c r="G21" s="8"/>
    </row>
    <row r="22" spans="2:7" x14ac:dyDescent="0.3">
      <c r="B22" s="4">
        <v>103</v>
      </c>
      <c r="C22" s="4" t="s">
        <v>20</v>
      </c>
      <c r="D22" s="10" t="str">
        <f t="shared" si="0"/>
        <v>SUMAN</v>
      </c>
      <c r="E22" s="8"/>
      <c r="F22" s="4" t="s">
        <v>25</v>
      </c>
      <c r="G22" s="8"/>
    </row>
    <row r="23" spans="2:7" x14ac:dyDescent="0.3">
      <c r="B23" s="4">
        <v>104</v>
      </c>
      <c r="C23" s="4" t="s">
        <v>21</v>
      </c>
      <c r="D23" s="10" t="str">
        <f t="shared" si="0"/>
        <v>JOSEPH</v>
      </c>
      <c r="E23" s="8"/>
      <c r="F23" s="4" t="s">
        <v>26</v>
      </c>
      <c r="G23" s="8"/>
    </row>
    <row r="24" spans="2:7" x14ac:dyDescent="0.3">
      <c r="B24" s="4">
        <v>105</v>
      </c>
      <c r="C24" s="4" t="s">
        <v>22</v>
      </c>
      <c r="D24" s="10" t="str">
        <f t="shared" si="0"/>
        <v>JOHN</v>
      </c>
      <c r="E24" s="8"/>
      <c r="F24" s="4" t="s">
        <v>27</v>
      </c>
      <c r="G24" s="8"/>
    </row>
    <row r="26" spans="2:7" x14ac:dyDescent="0.3">
      <c r="B26" t="s">
        <v>28</v>
      </c>
      <c r="E26" t="s">
        <v>29</v>
      </c>
    </row>
    <row r="29" spans="2:7" x14ac:dyDescent="0.3">
      <c r="B29" s="3" t="s">
        <v>30</v>
      </c>
      <c r="C29" s="3"/>
    </row>
    <row r="31" spans="2:7" x14ac:dyDescent="0.3">
      <c r="B31" t="s">
        <v>31</v>
      </c>
    </row>
    <row r="33" spans="2:9" x14ac:dyDescent="0.3">
      <c r="B33" s="21" t="s">
        <v>10</v>
      </c>
      <c r="C33" s="23"/>
    </row>
    <row r="34" spans="2:9" x14ac:dyDescent="0.3">
      <c r="B34" s="21" t="s">
        <v>32</v>
      </c>
      <c r="C34" s="23"/>
    </row>
    <row r="36" spans="2:9" x14ac:dyDescent="0.3">
      <c r="B36" s="18" t="s">
        <v>8</v>
      </c>
      <c r="C36" s="20"/>
      <c r="D36" s="20"/>
      <c r="E36" s="19"/>
      <c r="F36" s="18" t="s">
        <v>10</v>
      </c>
      <c r="G36" s="19"/>
      <c r="H36" s="6" t="s">
        <v>12</v>
      </c>
      <c r="I36" s="6" t="s">
        <v>14</v>
      </c>
    </row>
    <row r="37" spans="2:9" x14ac:dyDescent="0.3">
      <c r="B37" s="21" t="s">
        <v>33</v>
      </c>
      <c r="C37" s="22"/>
      <c r="D37" s="22"/>
      <c r="E37" s="23"/>
      <c r="F37" s="21" t="s">
        <v>32</v>
      </c>
      <c r="G37" s="23"/>
      <c r="H37" s="4" t="s">
        <v>34</v>
      </c>
      <c r="I37" s="4" t="str">
        <f>LOWER(H37)</f>
        <v>hello</v>
      </c>
    </row>
    <row r="40" spans="2:9" x14ac:dyDescent="0.3">
      <c r="B40" s="2" t="s">
        <v>35</v>
      </c>
      <c r="C40" s="2"/>
    </row>
    <row r="42" spans="2:9" x14ac:dyDescent="0.3">
      <c r="B42" t="s">
        <v>36</v>
      </c>
    </row>
    <row r="44" spans="2:9" x14ac:dyDescent="0.3">
      <c r="B44" s="4" t="s">
        <v>37</v>
      </c>
    </row>
    <row r="45" spans="2:9" x14ac:dyDescent="0.3">
      <c r="B45" s="4" t="s">
        <v>38</v>
      </c>
    </row>
    <row r="47" spans="2:9" x14ac:dyDescent="0.3">
      <c r="B47" s="6" t="s">
        <v>15</v>
      </c>
      <c r="C47" s="6" t="s">
        <v>16</v>
      </c>
      <c r="D47" s="9" t="s">
        <v>44</v>
      </c>
    </row>
    <row r="48" spans="2:9" x14ac:dyDescent="0.3">
      <c r="B48" s="4">
        <v>101</v>
      </c>
      <c r="C48" s="4" t="s">
        <v>39</v>
      </c>
      <c r="D48" s="10" t="str">
        <f>PROPER(C48)</f>
        <v>Brain Verma</v>
      </c>
    </row>
    <row r="49" spans="2:4" x14ac:dyDescent="0.3">
      <c r="B49" s="4">
        <v>102</v>
      </c>
      <c r="C49" s="4" t="s">
        <v>40</v>
      </c>
      <c r="D49" s="10" t="str">
        <f t="shared" ref="D49:D52" si="1">PROPER(C49)</f>
        <v>Monika Kemaari</v>
      </c>
    </row>
    <row r="50" spans="2:4" x14ac:dyDescent="0.3">
      <c r="B50" s="4">
        <v>103</v>
      </c>
      <c r="C50" s="4" t="s">
        <v>41</v>
      </c>
      <c r="D50" s="10" t="str">
        <f t="shared" si="1"/>
        <v>Suman Shetty</v>
      </c>
    </row>
    <row r="51" spans="2:4" x14ac:dyDescent="0.3">
      <c r="B51" s="4">
        <v>104</v>
      </c>
      <c r="C51" s="4" t="s">
        <v>42</v>
      </c>
      <c r="D51" s="10" t="str">
        <f t="shared" si="1"/>
        <v>Joseph Dsouza</v>
      </c>
    </row>
    <row r="52" spans="2:4" x14ac:dyDescent="0.3">
      <c r="B52" s="4">
        <v>105</v>
      </c>
      <c r="C52" s="4" t="s">
        <v>43</v>
      </c>
      <c r="D52" s="10" t="str">
        <f t="shared" si="1"/>
        <v>John Dsouza</v>
      </c>
    </row>
    <row r="55" spans="2:4" x14ac:dyDescent="0.3">
      <c r="B55" s="2" t="s">
        <v>45</v>
      </c>
      <c r="C55" s="2"/>
    </row>
    <row r="57" spans="2:4" x14ac:dyDescent="0.3">
      <c r="B57" t="s">
        <v>46</v>
      </c>
    </row>
    <row r="59" spans="2:4" x14ac:dyDescent="0.3">
      <c r="B59" s="6" t="s">
        <v>47</v>
      </c>
      <c r="C59" s="6"/>
      <c r="D59" s="6"/>
    </row>
    <row r="60" spans="2:4" x14ac:dyDescent="0.3">
      <c r="B60" t="s">
        <v>48</v>
      </c>
    </row>
    <row r="61" spans="2:4" x14ac:dyDescent="0.3">
      <c r="B61" t="s">
        <v>49</v>
      </c>
    </row>
    <row r="63" spans="2:4" x14ac:dyDescent="0.3">
      <c r="B63" t="s">
        <v>50</v>
      </c>
    </row>
    <row r="64" spans="2:4" x14ac:dyDescent="0.3">
      <c r="B64" s="11" t="s">
        <v>51</v>
      </c>
      <c r="C64" s="11" t="s">
        <v>52</v>
      </c>
    </row>
    <row r="65" spans="2:10" x14ac:dyDescent="0.3">
      <c r="B65" s="5" t="s">
        <v>22</v>
      </c>
      <c r="C65" s="5" t="s">
        <v>53</v>
      </c>
    </row>
    <row r="67" spans="2:10" x14ac:dyDescent="0.3">
      <c r="B67" s="17" t="s">
        <v>8</v>
      </c>
      <c r="C67" s="17"/>
      <c r="D67" s="17"/>
      <c r="E67" s="17" t="s">
        <v>10</v>
      </c>
      <c r="F67" s="17"/>
      <c r="G67" s="17"/>
      <c r="H67" s="17"/>
      <c r="I67" s="18" t="s">
        <v>14</v>
      </c>
      <c r="J67" s="19"/>
    </row>
    <row r="68" spans="2:10" ht="20.399999999999999" customHeight="1" x14ac:dyDescent="0.3">
      <c r="B68" s="12" t="s">
        <v>54</v>
      </c>
      <c r="C68" s="4"/>
      <c r="D68" s="4"/>
      <c r="E68" s="14" t="s">
        <v>58</v>
      </c>
      <c r="F68" s="15"/>
      <c r="G68" s="15"/>
      <c r="H68" s="16"/>
      <c r="I68" s="4" t="str">
        <f>CONCATENATE(B65,C65)</f>
        <v>JohnSmith</v>
      </c>
      <c r="J68" s="4"/>
    </row>
    <row r="69" spans="2:10" ht="21" customHeight="1" x14ac:dyDescent="0.3">
      <c r="B69" s="4" t="s">
        <v>55</v>
      </c>
      <c r="C69" s="4"/>
      <c r="D69" s="4"/>
      <c r="E69" s="14" t="s">
        <v>57</v>
      </c>
      <c r="F69" s="15"/>
      <c r="G69" s="15"/>
      <c r="H69" s="16"/>
      <c r="I69" s="4" t="str">
        <f>CONCATENATE(B65," ",C65)</f>
        <v>John Smith</v>
      </c>
      <c r="J69" s="4"/>
    </row>
    <row r="70" spans="2:10" ht="21.6" customHeight="1" x14ac:dyDescent="0.3">
      <c r="B70" s="4" t="s">
        <v>56</v>
      </c>
      <c r="C70" s="4"/>
      <c r="D70" s="4"/>
      <c r="E70" s="14" t="s">
        <v>59</v>
      </c>
      <c r="F70" s="15"/>
      <c r="G70" s="15"/>
      <c r="H70" s="16"/>
      <c r="I70" s="4" t="str">
        <f>CONCATENATE("Mr. ",B65," ",C65)</f>
        <v>Mr. John Smith</v>
      </c>
      <c r="J70" s="4"/>
    </row>
    <row r="73" spans="2:10" x14ac:dyDescent="0.3">
      <c r="B73" s="2" t="s">
        <v>60</v>
      </c>
      <c r="C73" s="2"/>
    </row>
    <row r="75" spans="2:10" x14ac:dyDescent="0.3">
      <c r="B75" t="s">
        <v>61</v>
      </c>
    </row>
    <row r="76" spans="2:10" x14ac:dyDescent="0.3">
      <c r="B76" t="s">
        <v>62</v>
      </c>
    </row>
    <row r="78" spans="2:10" x14ac:dyDescent="0.3">
      <c r="B78" s="13" t="s">
        <v>63</v>
      </c>
      <c r="C78" s="13"/>
    </row>
    <row r="80" spans="2:10" x14ac:dyDescent="0.3">
      <c r="B80" t="s">
        <v>50</v>
      </c>
    </row>
    <row r="81" spans="2:10" x14ac:dyDescent="0.3">
      <c r="B81" s="11" t="s">
        <v>51</v>
      </c>
      <c r="C81" s="11" t="s">
        <v>52</v>
      </c>
    </row>
    <row r="82" spans="2:10" x14ac:dyDescent="0.3">
      <c r="B82" s="5" t="s">
        <v>22</v>
      </c>
      <c r="C82" s="5" t="s">
        <v>53</v>
      </c>
    </row>
    <row r="84" spans="2:10" x14ac:dyDescent="0.3">
      <c r="B84" s="17" t="s">
        <v>8</v>
      </c>
      <c r="C84" s="17"/>
      <c r="D84" s="17"/>
      <c r="E84" s="17" t="s">
        <v>10</v>
      </c>
      <c r="F84" s="17"/>
      <c r="G84" s="17"/>
      <c r="H84" s="17"/>
      <c r="I84" s="18" t="s">
        <v>14</v>
      </c>
      <c r="J84" s="19"/>
    </row>
    <row r="85" spans="2:10" x14ac:dyDescent="0.3">
      <c r="B85" s="12" t="s">
        <v>54</v>
      </c>
      <c r="C85" s="4"/>
      <c r="D85" s="4"/>
      <c r="E85" s="14" t="s">
        <v>65</v>
      </c>
      <c r="F85" s="15"/>
      <c r="G85" s="15"/>
      <c r="H85" s="16"/>
      <c r="I85" s="4" t="str">
        <f>B82&amp;C82</f>
        <v>JohnSmith</v>
      </c>
      <c r="J85" s="4"/>
    </row>
    <row r="86" spans="2:10" x14ac:dyDescent="0.3">
      <c r="B86" s="4" t="s">
        <v>55</v>
      </c>
      <c r="C86" s="4"/>
      <c r="D86" s="4"/>
      <c r="E86" s="14" t="s">
        <v>66</v>
      </c>
      <c r="F86" s="15"/>
      <c r="G86" s="15"/>
      <c r="H86" s="16"/>
      <c r="I86" s="4" t="str">
        <f>B82 &amp;" "&amp; C82</f>
        <v>John Smith</v>
      </c>
      <c r="J86" s="4"/>
    </row>
    <row r="87" spans="2:10" x14ac:dyDescent="0.3">
      <c r="B87" s="4" t="s">
        <v>56</v>
      </c>
      <c r="C87" s="4"/>
      <c r="D87" s="4"/>
      <c r="E87" s="14" t="s">
        <v>64</v>
      </c>
      <c r="F87" s="15"/>
      <c r="G87" s="15"/>
      <c r="H87" s="16"/>
      <c r="I87" s="4" t="str">
        <f>"Mr. "&amp; B82 &amp;" "&amp;C82</f>
        <v>Mr. John Smith</v>
      </c>
      <c r="J87" s="4"/>
    </row>
  </sheetData>
  <mergeCells count="23">
    <mergeCell ref="B15:E15"/>
    <mergeCell ref="F15:G15"/>
    <mergeCell ref="F16:G16"/>
    <mergeCell ref="B16:E16"/>
    <mergeCell ref="F19:G19"/>
    <mergeCell ref="B36:E36"/>
    <mergeCell ref="F36:G36"/>
    <mergeCell ref="B37:E37"/>
    <mergeCell ref="F37:G37"/>
    <mergeCell ref="B33:C33"/>
    <mergeCell ref="B34:C34"/>
    <mergeCell ref="B67:D67"/>
    <mergeCell ref="E67:H67"/>
    <mergeCell ref="I67:J67"/>
    <mergeCell ref="B84:D84"/>
    <mergeCell ref="E84:H84"/>
    <mergeCell ref="I84:J84"/>
    <mergeCell ref="E85:H85"/>
    <mergeCell ref="E86:H86"/>
    <mergeCell ref="E87:H87"/>
    <mergeCell ref="E68:H68"/>
    <mergeCell ref="E69:H69"/>
    <mergeCell ref="E70:H7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69CC-1AE2-4F52-A909-25DD8F512248}">
  <dimension ref="B2:K87"/>
  <sheetViews>
    <sheetView tabSelected="1" workbookViewId="0">
      <selection activeCell="J9" sqref="J9"/>
    </sheetView>
  </sheetViews>
  <sheetFormatPr defaultRowHeight="14.4" x14ac:dyDescent="0.3"/>
  <cols>
    <col min="2" max="2" width="12" customWidth="1"/>
    <col min="3" max="3" width="9.6640625" customWidth="1"/>
    <col min="4" max="4" width="11.33203125" customWidth="1"/>
    <col min="5" max="5" width="11.88671875" customWidth="1"/>
    <col min="6" max="6" width="14.33203125" customWidth="1"/>
  </cols>
  <sheetData>
    <row r="2" spans="2:3" x14ac:dyDescent="0.3">
      <c r="B2" s="25" t="s">
        <v>67</v>
      </c>
      <c r="C2" s="25"/>
    </row>
    <row r="4" spans="2:3" x14ac:dyDescent="0.3">
      <c r="B4" t="s">
        <v>68</v>
      </c>
    </row>
    <row r="5" spans="2:3" x14ac:dyDescent="0.3">
      <c r="B5" t="s">
        <v>69</v>
      </c>
    </row>
    <row r="6" spans="2:3" x14ac:dyDescent="0.3">
      <c r="B6" t="s">
        <v>70</v>
      </c>
    </row>
    <row r="7" spans="2:3" x14ac:dyDescent="0.3">
      <c r="B7" t="s">
        <v>71</v>
      </c>
    </row>
    <row r="8" spans="2:3" x14ac:dyDescent="0.3">
      <c r="B8" t="s">
        <v>72</v>
      </c>
    </row>
    <row r="9" spans="2:3" x14ac:dyDescent="0.3">
      <c r="B9" t="s">
        <v>73</v>
      </c>
    </row>
    <row r="10" spans="2:3" x14ac:dyDescent="0.3">
      <c r="B10" t="s">
        <v>74</v>
      </c>
    </row>
    <row r="12" spans="2:3" x14ac:dyDescent="0.3">
      <c r="B12" s="26" t="s">
        <v>75</v>
      </c>
      <c r="C12" s="26"/>
    </row>
    <row r="13" spans="2:3" x14ac:dyDescent="0.3">
      <c r="B13" t="s">
        <v>76</v>
      </c>
    </row>
    <row r="15" spans="2:3" x14ac:dyDescent="0.3">
      <c r="B15" t="s">
        <v>77</v>
      </c>
    </row>
    <row r="17" spans="2:11" x14ac:dyDescent="0.3">
      <c r="B17" t="s">
        <v>78</v>
      </c>
    </row>
    <row r="18" spans="2:11" x14ac:dyDescent="0.3">
      <c r="B18" s="18" t="s">
        <v>79</v>
      </c>
      <c r="C18" s="19"/>
      <c r="E18" s="17" t="s">
        <v>8</v>
      </c>
      <c r="F18" s="17"/>
      <c r="G18" s="17"/>
      <c r="H18" s="17"/>
      <c r="I18" s="17" t="s">
        <v>10</v>
      </c>
      <c r="J18" s="17"/>
      <c r="K18" s="6" t="s">
        <v>14</v>
      </c>
    </row>
    <row r="19" spans="2:11" x14ac:dyDescent="0.3">
      <c r="B19" s="4" t="s">
        <v>80</v>
      </c>
      <c r="C19" s="4"/>
      <c r="E19" s="4" t="s">
        <v>81</v>
      </c>
      <c r="F19" s="4"/>
      <c r="G19" s="4"/>
      <c r="H19" s="4"/>
      <c r="I19" s="4" t="s">
        <v>82</v>
      </c>
      <c r="J19" s="4"/>
      <c r="K19" s="4" t="str">
        <f>LEFT(B19,5)</f>
        <v>Micro</v>
      </c>
    </row>
    <row r="22" spans="2:11" x14ac:dyDescent="0.3">
      <c r="B22" s="26" t="s">
        <v>83</v>
      </c>
      <c r="C22" s="26"/>
    </row>
    <row r="23" spans="2:11" x14ac:dyDescent="0.3">
      <c r="B23" t="s">
        <v>84</v>
      </c>
    </row>
    <row r="25" spans="2:11" x14ac:dyDescent="0.3">
      <c r="B25" t="s">
        <v>85</v>
      </c>
    </row>
    <row r="27" spans="2:11" x14ac:dyDescent="0.3">
      <c r="B27" t="s">
        <v>78</v>
      </c>
    </row>
    <row r="28" spans="2:11" x14ac:dyDescent="0.3">
      <c r="B28" s="18" t="s">
        <v>79</v>
      </c>
      <c r="C28" s="19"/>
      <c r="E28" s="17" t="s">
        <v>8</v>
      </c>
      <c r="F28" s="17"/>
      <c r="G28" s="17"/>
      <c r="H28" s="17"/>
      <c r="I28" s="17" t="s">
        <v>10</v>
      </c>
      <c r="J28" s="17"/>
      <c r="K28" s="6" t="s">
        <v>14</v>
      </c>
    </row>
    <row r="29" spans="2:11" x14ac:dyDescent="0.3">
      <c r="B29" s="4" t="s">
        <v>80</v>
      </c>
      <c r="C29" s="4"/>
      <c r="E29" s="4" t="s">
        <v>86</v>
      </c>
      <c r="F29" s="4"/>
      <c r="G29" s="4"/>
      <c r="H29" s="4"/>
      <c r="I29" s="4" t="s">
        <v>87</v>
      </c>
      <c r="J29" s="4"/>
      <c r="K29" s="4" t="str">
        <f>RIGHT(B29,5)</f>
        <v>Excel</v>
      </c>
    </row>
    <row r="32" spans="2:11" x14ac:dyDescent="0.3">
      <c r="B32" s="26" t="s">
        <v>88</v>
      </c>
      <c r="C32" s="26"/>
    </row>
    <row r="33" spans="2:11" x14ac:dyDescent="0.3">
      <c r="B33" t="s">
        <v>89</v>
      </c>
    </row>
    <row r="35" spans="2:11" x14ac:dyDescent="0.3">
      <c r="B35" s="13" t="s">
        <v>90</v>
      </c>
    </row>
    <row r="36" spans="2:11" x14ac:dyDescent="0.3">
      <c r="C36" t="s">
        <v>91</v>
      </c>
    </row>
    <row r="37" spans="2:11" x14ac:dyDescent="0.3">
      <c r="C37" t="s">
        <v>92</v>
      </c>
    </row>
    <row r="38" spans="2:11" x14ac:dyDescent="0.3">
      <c r="C38" t="s">
        <v>93</v>
      </c>
    </row>
    <row r="40" spans="2:11" x14ac:dyDescent="0.3">
      <c r="B40" t="s">
        <v>94</v>
      </c>
    </row>
    <row r="41" spans="2:11" x14ac:dyDescent="0.3">
      <c r="B41" s="18" t="s">
        <v>79</v>
      </c>
      <c r="C41" s="19"/>
      <c r="E41" s="17" t="s">
        <v>8</v>
      </c>
      <c r="F41" s="17"/>
      <c r="G41" s="17"/>
      <c r="H41" s="17"/>
      <c r="I41" s="17" t="s">
        <v>10</v>
      </c>
      <c r="J41" s="17"/>
      <c r="K41" s="6" t="s">
        <v>14</v>
      </c>
    </row>
    <row r="42" spans="2:11" x14ac:dyDescent="0.3">
      <c r="B42" s="4" t="s">
        <v>80</v>
      </c>
      <c r="C42" s="4"/>
      <c r="E42" s="4" t="s">
        <v>95</v>
      </c>
      <c r="F42" s="4"/>
      <c r="G42" s="4"/>
      <c r="H42" s="4"/>
      <c r="I42" s="4" t="s">
        <v>96</v>
      </c>
      <c r="J42" s="4"/>
      <c r="K42" s="4" t="str">
        <f>MID(B42,6,4)</f>
        <v>soft</v>
      </c>
    </row>
    <row r="43" spans="2:11" x14ac:dyDescent="0.3">
      <c r="E43" s="4" t="s">
        <v>97</v>
      </c>
      <c r="F43" s="4"/>
      <c r="G43" s="4"/>
      <c r="H43" s="4"/>
      <c r="I43" s="4" t="s">
        <v>98</v>
      </c>
      <c r="J43" s="4"/>
      <c r="K43" s="4" t="str">
        <f>MID(B42,11,5)</f>
        <v>Excel</v>
      </c>
    </row>
    <row r="46" spans="2:11" x14ac:dyDescent="0.3">
      <c r="B46" s="26" t="s">
        <v>99</v>
      </c>
      <c r="C46" s="26"/>
    </row>
    <row r="47" spans="2:11" x14ac:dyDescent="0.3">
      <c r="B47" t="s">
        <v>100</v>
      </c>
    </row>
    <row r="49" spans="2:9" x14ac:dyDescent="0.3">
      <c r="B49" s="13" t="s">
        <v>101</v>
      </c>
    </row>
    <row r="51" spans="2:9" x14ac:dyDescent="0.3">
      <c r="B51" t="s">
        <v>78</v>
      </c>
    </row>
    <row r="52" spans="2:9" x14ac:dyDescent="0.3">
      <c r="B52" s="4" t="s">
        <v>79</v>
      </c>
      <c r="C52" s="4" t="s">
        <v>102</v>
      </c>
      <c r="D52" s="4"/>
      <c r="E52" s="4"/>
      <c r="F52" s="4"/>
    </row>
    <row r="54" spans="2:9" x14ac:dyDescent="0.3">
      <c r="B54" s="17" t="s">
        <v>8</v>
      </c>
      <c r="C54" s="17"/>
      <c r="D54" s="17"/>
      <c r="E54" s="17" t="s">
        <v>10</v>
      </c>
      <c r="F54" s="17"/>
      <c r="G54" s="18" t="s">
        <v>14</v>
      </c>
      <c r="H54" s="20"/>
      <c r="I54" s="19"/>
    </row>
    <row r="55" spans="2:9" x14ac:dyDescent="0.3">
      <c r="B55" s="4" t="s">
        <v>103</v>
      </c>
      <c r="C55" s="4"/>
      <c r="D55" s="4"/>
      <c r="E55" s="4" t="s">
        <v>104</v>
      </c>
      <c r="F55" s="4"/>
      <c r="G55" s="4" t="str">
        <f>TRIM(C52)</f>
        <v>Microsoft Excel is Amazing!</v>
      </c>
      <c r="H55" s="4"/>
      <c r="I55" s="4"/>
    </row>
    <row r="56" spans="2:9" x14ac:dyDescent="0.3">
      <c r="B56" s="21"/>
      <c r="C56" s="22"/>
      <c r="D56" s="23"/>
      <c r="E56" s="4" t="s">
        <v>105</v>
      </c>
      <c r="F56" s="4"/>
      <c r="G56" s="21" t="str">
        <f>TRIM(("  Mr.     Bean"))</f>
        <v>Mr. Bean</v>
      </c>
      <c r="H56" s="22"/>
      <c r="I56" s="23"/>
    </row>
    <row r="59" spans="2:9" x14ac:dyDescent="0.3">
      <c r="B59" s="26" t="s">
        <v>106</v>
      </c>
      <c r="C59" s="26"/>
    </row>
    <row r="60" spans="2:9" x14ac:dyDescent="0.3">
      <c r="B60" t="s">
        <v>107</v>
      </c>
    </row>
    <row r="62" spans="2:9" x14ac:dyDescent="0.3">
      <c r="B62" s="13" t="s">
        <v>108</v>
      </c>
    </row>
    <row r="64" spans="2:9" x14ac:dyDescent="0.3">
      <c r="B64" t="s">
        <v>109</v>
      </c>
      <c r="C64" s="27" t="s">
        <v>79</v>
      </c>
      <c r="D64" s="6" t="s">
        <v>102</v>
      </c>
      <c r="E64" s="6"/>
      <c r="F64" s="28"/>
      <c r="G64" s="13"/>
    </row>
    <row r="66" spans="2:11" x14ac:dyDescent="0.3">
      <c r="B66" s="17" t="s">
        <v>110</v>
      </c>
      <c r="C66" s="17"/>
      <c r="D66" s="17"/>
      <c r="E66" s="17"/>
      <c r="F66" s="17"/>
      <c r="G66" s="18" t="s">
        <v>10</v>
      </c>
      <c r="H66" s="19"/>
      <c r="I66" s="18" t="s">
        <v>14</v>
      </c>
      <c r="J66" s="20"/>
      <c r="K66" s="19"/>
    </row>
    <row r="67" spans="2:11" x14ac:dyDescent="0.3">
      <c r="B67" s="29" t="s">
        <v>111</v>
      </c>
      <c r="C67" s="29"/>
      <c r="D67" s="29"/>
      <c r="E67" s="29"/>
      <c r="F67" s="29"/>
      <c r="G67" s="4" t="s">
        <v>112</v>
      </c>
      <c r="H67" s="4"/>
      <c r="I67" s="21">
        <f>LEN(D64)</f>
        <v>38</v>
      </c>
      <c r="J67" s="22"/>
      <c r="K67" s="23"/>
    </row>
    <row r="68" spans="2:11" x14ac:dyDescent="0.3">
      <c r="B68" s="29" t="s">
        <v>113</v>
      </c>
      <c r="C68" s="29"/>
      <c r="D68" s="29"/>
      <c r="E68" s="29"/>
      <c r="F68" s="29"/>
      <c r="G68" s="4" t="s">
        <v>114</v>
      </c>
      <c r="H68" s="4"/>
      <c r="I68" s="4" t="str">
        <f>TRIM(D64)</f>
        <v>Microsoft Excel is Amazing!</v>
      </c>
      <c r="J68" s="4"/>
      <c r="K68" s="4"/>
    </row>
    <row r="69" spans="2:11" x14ac:dyDescent="0.3">
      <c r="B69" s="14" t="s">
        <v>115</v>
      </c>
      <c r="C69" s="15"/>
      <c r="D69" s="15"/>
      <c r="E69" s="15"/>
      <c r="F69" s="16"/>
      <c r="G69" s="14" t="s">
        <v>116</v>
      </c>
      <c r="H69" s="16"/>
      <c r="I69" s="21">
        <f>LEN(I68)</f>
        <v>27</v>
      </c>
      <c r="J69" s="22"/>
      <c r="K69" s="23"/>
    </row>
    <row r="72" spans="2:11" x14ac:dyDescent="0.3">
      <c r="B72" s="13" t="s">
        <v>117</v>
      </c>
      <c r="C72" s="13"/>
      <c r="D72" s="13"/>
      <c r="E72" s="13"/>
      <c r="F72" s="13"/>
      <c r="G72" s="13"/>
      <c r="H72" s="13"/>
    </row>
    <row r="74" spans="2:11" x14ac:dyDescent="0.3">
      <c r="B74" s="6" t="s">
        <v>118</v>
      </c>
      <c r="C74" s="6" t="s">
        <v>51</v>
      </c>
      <c r="D74" s="6" t="s">
        <v>52</v>
      </c>
      <c r="E74" s="6" t="s">
        <v>119</v>
      </c>
      <c r="F74" s="17" t="s">
        <v>120</v>
      </c>
      <c r="G74" s="17"/>
    </row>
    <row r="75" spans="2:11" x14ac:dyDescent="0.3">
      <c r="B75" s="4">
        <v>101</v>
      </c>
      <c r="C75" s="4" t="s">
        <v>121</v>
      </c>
      <c r="D75" s="4" t="s">
        <v>122</v>
      </c>
      <c r="E75" s="4" t="str">
        <f>CONCATENATE(LEFT((C75),1),"."," ",LEFT(D75,1),".")</f>
        <v>A. V.</v>
      </c>
      <c r="F75" s="21" t="str">
        <f>UPPER(CONCATENATE(D75,", ",C75))</f>
        <v>VERMA, ANITHA</v>
      </c>
      <c r="G75" s="23"/>
    </row>
    <row r="76" spans="2:11" x14ac:dyDescent="0.3">
      <c r="B76" s="4">
        <v>102</v>
      </c>
      <c r="C76" s="4" t="s">
        <v>123</v>
      </c>
      <c r="D76" s="4" t="s">
        <v>124</v>
      </c>
      <c r="E76" s="4" t="str">
        <f t="shared" ref="E76:E79" si="0">CONCATENATE(LEFT((C76),1),"."," ",LEFT(D76,1),".")</f>
        <v>S. K.</v>
      </c>
      <c r="F76" s="21" t="str">
        <f t="shared" ref="F76:F79" si="1">UPPER(CONCATENATE(D76,", ",C76))</f>
        <v>KUMAR, SUNIL</v>
      </c>
      <c r="G76" s="23"/>
    </row>
    <row r="77" spans="2:11" x14ac:dyDescent="0.3">
      <c r="B77" s="4">
        <v>103</v>
      </c>
      <c r="C77" s="4" t="s">
        <v>22</v>
      </c>
      <c r="D77" s="4" t="s">
        <v>125</v>
      </c>
      <c r="E77" s="4" t="str">
        <f t="shared" si="0"/>
        <v>J. M.</v>
      </c>
      <c r="F77" s="21" t="str">
        <f t="shared" si="1"/>
        <v>MILTON, JOHN</v>
      </c>
      <c r="G77" s="23"/>
    </row>
    <row r="78" spans="2:11" x14ac:dyDescent="0.3">
      <c r="B78" s="4">
        <v>104</v>
      </c>
      <c r="C78" s="4" t="s">
        <v>126</v>
      </c>
      <c r="D78" s="4" t="s">
        <v>127</v>
      </c>
      <c r="E78" s="4" t="str">
        <f t="shared" si="0"/>
        <v>W. W.</v>
      </c>
      <c r="F78" s="21" t="str">
        <f t="shared" si="1"/>
        <v>WORDSWORTH, WILLIAN</v>
      </c>
      <c r="G78" s="23"/>
    </row>
    <row r="79" spans="2:11" x14ac:dyDescent="0.3">
      <c r="B79" s="4">
        <v>105</v>
      </c>
      <c r="C79" s="4" t="s">
        <v>128</v>
      </c>
      <c r="D79" s="4" t="s">
        <v>53</v>
      </c>
      <c r="E79" s="4" t="str">
        <f t="shared" si="0"/>
        <v>S. S.</v>
      </c>
      <c r="F79" s="21" t="str">
        <f t="shared" si="1"/>
        <v>SMITH, STEVE</v>
      </c>
      <c r="G79" s="23"/>
    </row>
    <row r="81" spans="2:6" x14ac:dyDescent="0.3">
      <c r="B81" t="s">
        <v>129</v>
      </c>
    </row>
    <row r="82" spans="2:6" x14ac:dyDescent="0.3">
      <c r="B82" s="4" t="s">
        <v>119</v>
      </c>
      <c r="C82" s="4" t="s">
        <v>121</v>
      </c>
      <c r="D82" s="4" t="s">
        <v>122</v>
      </c>
      <c r="E82" s="30" t="s">
        <v>130</v>
      </c>
      <c r="F82" s="30"/>
    </row>
    <row r="83" spans="2:6" x14ac:dyDescent="0.3">
      <c r="B83" s="4" t="s">
        <v>10</v>
      </c>
      <c r="C83" s="4" t="s">
        <v>131</v>
      </c>
      <c r="D83" s="4"/>
      <c r="E83" s="4"/>
      <c r="F83" s="4"/>
    </row>
    <row r="85" spans="2:6" x14ac:dyDescent="0.3">
      <c r="B85" t="s">
        <v>132</v>
      </c>
    </row>
    <row r="86" spans="2:6" x14ac:dyDescent="0.3">
      <c r="B86" s="29" t="s">
        <v>120</v>
      </c>
      <c r="C86" s="29"/>
      <c r="D86" s="4" t="s">
        <v>121</v>
      </c>
      <c r="E86" s="4" t="s">
        <v>122</v>
      </c>
      <c r="F86" s="25" t="str">
        <f>UPPER(CONCATENATE(D75,", ",C75))</f>
        <v>VERMA, ANITHA</v>
      </c>
    </row>
    <row r="87" spans="2:6" x14ac:dyDescent="0.3">
      <c r="B87" s="4" t="s">
        <v>10</v>
      </c>
      <c r="C87" s="21" t="s">
        <v>133</v>
      </c>
      <c r="D87" s="22"/>
      <c r="E87" s="22"/>
      <c r="F87" s="23"/>
    </row>
  </sheetData>
  <mergeCells count="32">
    <mergeCell ref="C87:F87"/>
    <mergeCell ref="F76:G76"/>
    <mergeCell ref="F77:G77"/>
    <mergeCell ref="F78:G78"/>
    <mergeCell ref="F79:G79"/>
    <mergeCell ref="E82:F82"/>
    <mergeCell ref="B86:C86"/>
    <mergeCell ref="B68:F68"/>
    <mergeCell ref="B69:F69"/>
    <mergeCell ref="G69:H69"/>
    <mergeCell ref="I69:K69"/>
    <mergeCell ref="F74:G74"/>
    <mergeCell ref="F75:G75"/>
    <mergeCell ref="B56:D56"/>
    <mergeCell ref="G56:I56"/>
    <mergeCell ref="B66:F66"/>
    <mergeCell ref="G66:H66"/>
    <mergeCell ref="I66:K66"/>
    <mergeCell ref="B67:F67"/>
    <mergeCell ref="I67:K67"/>
    <mergeCell ref="B41:C41"/>
    <mergeCell ref="E41:H41"/>
    <mergeCell ref="I41:J41"/>
    <mergeCell ref="B54:D54"/>
    <mergeCell ref="E54:F54"/>
    <mergeCell ref="G54:I54"/>
    <mergeCell ref="B18:C18"/>
    <mergeCell ref="E18:H18"/>
    <mergeCell ref="I18:J18"/>
    <mergeCell ref="B28:C28"/>
    <mergeCell ref="E28:H28"/>
    <mergeCell ref="I28:J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2109-44BC-4D41-A65B-C25D2BD2EE88}">
  <dimension ref="B2:K36"/>
  <sheetViews>
    <sheetView workbookViewId="0">
      <selection activeCell="H10" sqref="H10"/>
    </sheetView>
  </sheetViews>
  <sheetFormatPr defaultRowHeight="14.4" x14ac:dyDescent="0.3"/>
  <sheetData>
    <row r="2" spans="2:11" x14ac:dyDescent="0.3">
      <c r="B2" s="26" t="s">
        <v>134</v>
      </c>
      <c r="C2" s="26"/>
      <c r="D2" s="26"/>
    </row>
    <row r="4" spans="2:11" x14ac:dyDescent="0.3">
      <c r="B4" s="13" t="s">
        <v>135</v>
      </c>
    </row>
    <row r="5" spans="2:11" x14ac:dyDescent="0.3">
      <c r="B5" t="s">
        <v>136</v>
      </c>
      <c r="K5" s="13"/>
    </row>
    <row r="7" spans="2:11" x14ac:dyDescent="0.3">
      <c r="B7" t="s">
        <v>137</v>
      </c>
      <c r="C7" t="s">
        <v>138</v>
      </c>
      <c r="D7" t="s">
        <v>138</v>
      </c>
    </row>
    <row r="8" spans="2:11" x14ac:dyDescent="0.3">
      <c r="B8" t="s">
        <v>139</v>
      </c>
      <c r="C8" t="s">
        <v>140</v>
      </c>
    </row>
    <row r="9" spans="2:11" x14ac:dyDescent="0.3">
      <c r="B9" t="s">
        <v>141</v>
      </c>
      <c r="C9" t="b">
        <f>EXACT(C7,D7)</f>
        <v>1</v>
      </c>
      <c r="J9" s="13"/>
    </row>
    <row r="11" spans="2:11" x14ac:dyDescent="0.3">
      <c r="B11" t="s">
        <v>137</v>
      </c>
      <c r="C11" t="s">
        <v>142</v>
      </c>
      <c r="D11" t="s">
        <v>138</v>
      </c>
    </row>
    <row r="12" spans="2:11" x14ac:dyDescent="0.3">
      <c r="B12" t="s">
        <v>143</v>
      </c>
      <c r="C12" t="b">
        <f>EXACT(C11,D11)</f>
        <v>0</v>
      </c>
    </row>
    <row r="15" spans="2:11" x14ac:dyDescent="0.3">
      <c r="B15" s="13" t="s">
        <v>144</v>
      </c>
      <c r="C15" s="13"/>
    </row>
    <row r="17" spans="2:4" x14ac:dyDescent="0.3">
      <c r="B17" t="s">
        <v>139</v>
      </c>
      <c r="C17" t="s">
        <v>145</v>
      </c>
    </row>
    <row r="18" spans="2:4" x14ac:dyDescent="0.3">
      <c r="B18" t="s">
        <v>137</v>
      </c>
      <c r="C18" t="s">
        <v>146</v>
      </c>
    </row>
    <row r="19" spans="2:4" x14ac:dyDescent="0.3">
      <c r="B19" t="s">
        <v>147</v>
      </c>
      <c r="C19">
        <f>FIND("I",C18)</f>
        <v>1</v>
      </c>
      <c r="D19" t="s">
        <v>148</v>
      </c>
    </row>
    <row r="20" spans="2:4" x14ac:dyDescent="0.3">
      <c r="C20">
        <f>FIND("e",C18)</f>
        <v>4</v>
      </c>
      <c r="D20" t="s">
        <v>149</v>
      </c>
    </row>
    <row r="21" spans="2:4" x14ac:dyDescent="0.3">
      <c r="C21">
        <f>FIND("e",C18,5)</f>
        <v>9</v>
      </c>
      <c r="D21" t="s">
        <v>150</v>
      </c>
    </row>
    <row r="24" spans="2:4" x14ac:dyDescent="0.3">
      <c r="B24" s="13" t="s">
        <v>151</v>
      </c>
    </row>
    <row r="26" spans="2:4" x14ac:dyDescent="0.3">
      <c r="B26" t="s">
        <v>152</v>
      </c>
    </row>
    <row r="27" spans="2:4" x14ac:dyDescent="0.3">
      <c r="B27" t="s">
        <v>139</v>
      </c>
      <c r="C27" t="s">
        <v>153</v>
      </c>
    </row>
    <row r="29" spans="2:4" x14ac:dyDescent="0.3">
      <c r="B29" t="s">
        <v>137</v>
      </c>
      <c r="C29" t="s">
        <v>154</v>
      </c>
    </row>
    <row r="30" spans="2:4" x14ac:dyDescent="0.3">
      <c r="B30" t="s">
        <v>147</v>
      </c>
      <c r="C30" t="str">
        <f>SUBSTITUTE(C29,"Analyst","Scientist")</f>
        <v>Data Scientist</v>
      </c>
    </row>
    <row r="32" spans="2:4" x14ac:dyDescent="0.3">
      <c r="B32" t="s">
        <v>137</v>
      </c>
      <c r="C32" t="s">
        <v>155</v>
      </c>
    </row>
    <row r="33" spans="2:5" x14ac:dyDescent="0.3">
      <c r="B33" t="s">
        <v>147</v>
      </c>
      <c r="C33" t="str">
        <f>SUBSTITUTE(C32,"1","2",1)</f>
        <v>January 2, 2024</v>
      </c>
      <c r="E33" t="s">
        <v>156</v>
      </c>
    </row>
    <row r="35" spans="2:5" x14ac:dyDescent="0.3">
      <c r="B35" t="s">
        <v>137</v>
      </c>
      <c r="C35" t="s">
        <v>157</v>
      </c>
    </row>
    <row r="36" spans="2:5" x14ac:dyDescent="0.3">
      <c r="B36" t="s">
        <v>158</v>
      </c>
      <c r="C36" t="str">
        <f>SUBSTITUTE(C35,"1","2",2)</f>
        <v>January 1, 2022</v>
      </c>
      <c r="E3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2025-10-28T15:34:04Z</dcterms:created>
  <dcterms:modified xsi:type="dcterms:W3CDTF">2026-05-02T08:39:34Z</dcterms:modified>
</cp:coreProperties>
</file>