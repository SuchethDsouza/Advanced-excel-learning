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AB63C125-CC65-4302-AD08-2C1D00C51CF2}" xr6:coauthVersionLast="41" xr6:coauthVersionMax="41" xr10:uidLastSave="{00000000-0000-0000-0000-000000000000}"/>
  <bookViews>
    <workbookView xWindow="-108" yWindow="-108" windowWidth="23256" windowHeight="12456" activeTab="1" xr2:uid="{3E93DC09-006F-479D-98EE-C2F47DADDB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2" l="1"/>
  <c r="F63" i="2"/>
  <c r="F62" i="2"/>
  <c r="B47" i="2"/>
  <c r="B46" i="2"/>
  <c r="B24" i="2"/>
  <c r="B23" i="2"/>
  <c r="D40" i="1"/>
  <c r="D25" i="1" l="1"/>
  <c r="C32" i="1"/>
  <c r="D41" i="1"/>
  <c r="D10" i="1"/>
</calcChain>
</file>

<file path=xl/sharedStrings.xml><?xml version="1.0" encoding="utf-8"?>
<sst xmlns="http://schemas.openxmlformats.org/spreadsheetml/2006/main" count="85" uniqueCount="67">
  <si>
    <t>Date and Time Functions</t>
  </si>
  <si>
    <t>This function are used when you need to work with date and time</t>
  </si>
  <si>
    <t>TODAY() Function</t>
  </si>
  <si>
    <t>Used to show the current date on a worksheet when you open your worksheet</t>
  </si>
  <si>
    <t>Ex1</t>
  </si>
  <si>
    <t>Formula</t>
  </si>
  <si>
    <t>Result</t>
  </si>
  <si>
    <t xml:space="preserve"> =TODAY()</t>
  </si>
  <si>
    <t>Ex2</t>
  </si>
  <si>
    <t xml:space="preserve"> =YEAR(TODAY())-2003</t>
  </si>
  <si>
    <t xml:space="preserve"> =YEAR(TODAY())</t>
  </si>
  <si>
    <t xml:space="preserve"> </t>
  </si>
  <si>
    <t>DATE() Function</t>
  </si>
  <si>
    <t>Useful when you need to take three separate values and combine them to form a date</t>
  </si>
  <si>
    <t>Syntax: =DATE(year, month, day)</t>
  </si>
  <si>
    <t>year: 4 digit</t>
  </si>
  <si>
    <t>month: 1 to 12</t>
  </si>
  <si>
    <t>day: 1 to 31</t>
  </si>
  <si>
    <t>Month</t>
  </si>
  <si>
    <t>Day</t>
  </si>
  <si>
    <t>Year</t>
  </si>
  <si>
    <t xml:space="preserve"> =DATE(B26, C26, D26)</t>
  </si>
  <si>
    <t>NOW Function</t>
  </si>
  <si>
    <t>When you need to show the current date and time on a worksheet</t>
  </si>
  <si>
    <t xml:space="preserve"> =NOW()</t>
  </si>
  <si>
    <t>YEAR Function</t>
  </si>
  <si>
    <t xml:space="preserve">It rerunrs the year corresponding to a date </t>
  </si>
  <si>
    <t>Advanced Date &amp; Time Function</t>
  </si>
  <si>
    <t>WORKDAY Function</t>
  </si>
  <si>
    <t>It returns a number that represents a date that is the indicated as number of working days before or after a date (the starting date)</t>
  </si>
  <si>
    <t>Syntax: WORKDAYS(start_date, days, [holidays])</t>
  </si>
  <si>
    <t>start_date: required a date that represents the start date</t>
  </si>
  <si>
    <t>days: the number of non-weekend and non-holiday days before or after start_date</t>
  </si>
  <si>
    <t xml:space="preserve">holidays: optional list of one or more dates to exclude from the working calender </t>
  </si>
  <si>
    <t>Days to completion</t>
  </si>
  <si>
    <t>Start date</t>
  </si>
  <si>
    <t>Data</t>
  </si>
  <si>
    <t>Purpose</t>
  </si>
  <si>
    <t>Holiday</t>
  </si>
  <si>
    <t>After 200 workdays from the start date.</t>
  </si>
  <si>
    <t>After 200 workdays from the start date, excluding 2 holidays.</t>
  </si>
  <si>
    <t xml:space="preserve"> =WORKDAY(B14,B15)</t>
  </si>
  <si>
    <t xml:space="preserve"> =WORKDAY(B14, B15,B16:B17)</t>
  </si>
  <si>
    <t>NETWORKDAYS Function</t>
  </si>
  <si>
    <t>It returns the number of whole working days between two specificed days</t>
  </si>
  <si>
    <t>working days exclude weekends and any dates identified in holidays</t>
  </si>
  <si>
    <t>Syntax: NETWORKDAYS(start_date, end_date, [holidays])</t>
  </si>
  <si>
    <t>End date</t>
  </si>
  <si>
    <t>Date</t>
  </si>
  <si>
    <t>start_date: required</t>
  </si>
  <si>
    <t>end_date: required</t>
  </si>
  <si>
    <t>holidays: An optional range of one or more dates to exclude from the working calender.</t>
  </si>
  <si>
    <t>formula</t>
  </si>
  <si>
    <t xml:space="preserve"> =NETWORKDAYS(B37,B38)</t>
  </si>
  <si>
    <t xml:space="preserve"> =NETWORKDAYS(B37,B38,B39:B40)</t>
  </si>
  <si>
    <t>Number of workdays between the two dates</t>
  </si>
  <si>
    <t>Number of workdays between the two dates excluding 2 holidays</t>
  </si>
  <si>
    <t>EDATE Function</t>
  </si>
  <si>
    <t>it returns a serial number that represents the date that is the indicated number of months before or after a specifed date (the start_date)</t>
  </si>
  <si>
    <t>Syntax: EDATE(start_date, months)</t>
  </si>
  <si>
    <t>months: number of months before or after start_date</t>
  </si>
  <si>
    <t>The date, one month after the date above</t>
  </si>
  <si>
    <t>The date, one month before the date above</t>
  </si>
  <si>
    <t>The date, twelve months after the date above</t>
  </si>
  <si>
    <t xml:space="preserve"> =EDATE(B58,1)</t>
  </si>
  <si>
    <t xml:space="preserve"> =EDATE(B59,-1)</t>
  </si>
  <si>
    <t xml:space="preserve"> =EDATE(B58,12)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</si>
</sst>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22" fontId="0" fillId="0" borderId="1" xfId="0" applyNumberFormat="1" applyBorder="1"/>
    <xf numFmtId="14" fontId="0" fillId="0" borderId="0" xfId="0" applyNumberFormat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4" borderId="0" xfId="0" applyFill="1" applyBorder="1"/>
    <xf numFmtId="0" fontId="0" fillId="0" borderId="0" xfId="0" applyBorder="1"/>
    <xf numFmtId="164" fontId="0" fillId="3" borderId="1" xfId="0" applyNumberFormat="1" applyFill="1" applyBorder="1"/>
    <xf numFmtId="0" fontId="0" fillId="4" borderId="2" xfId="0" applyFill="1" applyBorder="1"/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6167-6F40-42F2-AADF-EBE314E8364D}">
  <dimension ref="B2:J41"/>
  <sheetViews>
    <sheetView topLeftCell="A12" workbookViewId="0">
      <selection activeCell="D40" sqref="D40"/>
    </sheetView>
  </sheetViews>
  <sheetFormatPr defaultRowHeight="14.4" x14ac:dyDescent="0.3"/>
  <cols>
    <col min="2" max="2" width="15.44140625" bestFit="1" customWidth="1"/>
    <col min="3" max="3" width="20.109375" customWidth="1"/>
    <col min="4" max="4" width="14.33203125" bestFit="1" customWidth="1"/>
  </cols>
  <sheetData>
    <row r="2" spans="2:10" x14ac:dyDescent="0.3">
      <c r="B2" s="2" t="s">
        <v>0</v>
      </c>
      <c r="C2" s="3"/>
      <c r="D2" s="3"/>
    </row>
    <row r="4" spans="2:10" x14ac:dyDescent="0.3">
      <c r="B4" t="s">
        <v>1</v>
      </c>
    </row>
    <row r="6" spans="2:10" x14ac:dyDescent="0.3">
      <c r="B6" s="1" t="s">
        <v>2</v>
      </c>
    </row>
    <row r="7" spans="2:10" x14ac:dyDescent="0.3">
      <c r="B7" t="s">
        <v>3</v>
      </c>
    </row>
    <row r="9" spans="2:10" x14ac:dyDescent="0.3">
      <c r="B9" s="5" t="s">
        <v>4</v>
      </c>
      <c r="C9" s="5" t="s">
        <v>5</v>
      </c>
      <c r="D9" s="5" t="s">
        <v>6</v>
      </c>
    </row>
    <row r="10" spans="2:10" x14ac:dyDescent="0.3">
      <c r="B10" s="3"/>
      <c r="C10" s="4" t="s">
        <v>7</v>
      </c>
      <c r="D10" s="4">
        <f ca="1">TODAY()</f>
        <v>46144</v>
      </c>
    </row>
    <row r="13" spans="2:10" x14ac:dyDescent="0.3">
      <c r="B13" s="1" t="s">
        <v>12</v>
      </c>
    </row>
    <row r="14" spans="2:10" x14ac:dyDescent="0.3">
      <c r="B14" t="s">
        <v>13</v>
      </c>
    </row>
    <row r="15" spans="2:10" x14ac:dyDescent="0.3">
      <c r="J15" t="s">
        <v>11</v>
      </c>
    </row>
    <row r="16" spans="2:10" x14ac:dyDescent="0.3">
      <c r="B16" s="1" t="s">
        <v>14</v>
      </c>
    </row>
    <row r="17" spans="2:4" x14ac:dyDescent="0.3">
      <c r="C17" t="s">
        <v>15</v>
      </c>
    </row>
    <row r="18" spans="2:4" x14ac:dyDescent="0.3">
      <c r="C18" t="s">
        <v>16</v>
      </c>
    </row>
    <row r="19" spans="2:4" x14ac:dyDescent="0.3">
      <c r="C19" t="s">
        <v>17</v>
      </c>
    </row>
    <row r="21" spans="2:4" x14ac:dyDescent="0.3">
      <c r="B21" s="5" t="s">
        <v>18</v>
      </c>
      <c r="C21" s="5" t="s">
        <v>19</v>
      </c>
      <c r="D21" s="5" t="s">
        <v>20</v>
      </c>
    </row>
    <row r="22" spans="2:4" x14ac:dyDescent="0.3">
      <c r="B22" s="3">
        <v>8</v>
      </c>
      <c r="C22" s="3">
        <v>15</v>
      </c>
      <c r="D22" s="3">
        <v>2025</v>
      </c>
    </row>
    <row r="24" spans="2:4" x14ac:dyDescent="0.3">
      <c r="C24" s="5" t="s">
        <v>5</v>
      </c>
      <c r="D24" s="5" t="s">
        <v>6</v>
      </c>
    </row>
    <row r="25" spans="2:4" x14ac:dyDescent="0.3">
      <c r="C25" s="4" t="s">
        <v>21</v>
      </c>
      <c r="D25" s="16">
        <f>DATE(C22,B22,D22)</f>
        <v>7716</v>
      </c>
    </row>
    <row r="26" spans="2:4" x14ac:dyDescent="0.3">
      <c r="C26" s="3"/>
      <c r="D26" s="3"/>
    </row>
    <row r="28" spans="2:4" x14ac:dyDescent="0.3">
      <c r="B28" s="1" t="s">
        <v>22</v>
      </c>
    </row>
    <row r="29" spans="2:4" x14ac:dyDescent="0.3">
      <c r="B29" t="s">
        <v>23</v>
      </c>
    </row>
    <row r="31" spans="2:4" x14ac:dyDescent="0.3">
      <c r="B31" s="5" t="s">
        <v>5</v>
      </c>
      <c r="C31" s="5" t="s">
        <v>6</v>
      </c>
    </row>
    <row r="32" spans="2:4" x14ac:dyDescent="0.3">
      <c r="B32" s="6" t="s">
        <v>24</v>
      </c>
      <c r="C32" s="6">
        <f ca="1">NOW()</f>
        <v>46144.876931365739</v>
      </c>
    </row>
    <row r="35" spans="2:4" x14ac:dyDescent="0.3">
      <c r="B35" s="1" t="s">
        <v>25</v>
      </c>
    </row>
    <row r="36" spans="2:4" x14ac:dyDescent="0.3">
      <c r="B36" t="s">
        <v>26</v>
      </c>
    </row>
    <row r="39" spans="2:4" x14ac:dyDescent="0.3">
      <c r="B39" s="5" t="s">
        <v>8</v>
      </c>
      <c r="C39" s="5" t="s">
        <v>5</v>
      </c>
      <c r="D39" s="5" t="s">
        <v>6</v>
      </c>
    </row>
    <row r="40" spans="2:4" x14ac:dyDescent="0.3">
      <c r="B40" s="3"/>
      <c r="C40" s="4" t="s">
        <v>9</v>
      </c>
      <c r="D40" s="16">
        <f ca="1">YEAR(TODAY())-2003</f>
        <v>23</v>
      </c>
    </row>
    <row r="41" spans="2:4" x14ac:dyDescent="0.3">
      <c r="B41" s="3"/>
      <c r="C41" s="3" t="s">
        <v>10</v>
      </c>
      <c r="D41" s="3">
        <f ca="1">YEAR(TODAY())</f>
        <v>2026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ACAC-1473-4932-A105-1BBD4D3196AD}">
  <dimension ref="B2:F64"/>
  <sheetViews>
    <sheetView tabSelected="1" zoomScale="115" zoomScaleNormal="115" workbookViewId="0">
      <selection activeCell="C69" sqref="C69"/>
    </sheetView>
  </sheetViews>
  <sheetFormatPr defaultRowHeight="14.4" x14ac:dyDescent="0.3"/>
  <cols>
    <col min="2" max="2" width="16" customWidth="1"/>
    <col min="3" max="3" width="22.77734375" customWidth="1"/>
    <col min="4" max="6" width="11" bestFit="1" customWidth="1"/>
  </cols>
  <sheetData>
    <row r="2" spans="2:5" x14ac:dyDescent="0.3">
      <c r="B2" s="12" t="s">
        <v>27</v>
      </c>
      <c r="C2" s="17"/>
      <c r="D2" s="15"/>
      <c r="E2" s="15"/>
    </row>
    <row r="4" spans="2:5" x14ac:dyDescent="0.3">
      <c r="B4" s="1" t="s">
        <v>28</v>
      </c>
    </row>
    <row r="5" spans="2:5" x14ac:dyDescent="0.3">
      <c r="B5" t="s">
        <v>29</v>
      </c>
    </row>
    <row r="7" spans="2:5" x14ac:dyDescent="0.3">
      <c r="B7" s="1" t="s">
        <v>30</v>
      </c>
    </row>
    <row r="8" spans="2:5" x14ac:dyDescent="0.3">
      <c r="C8" t="s">
        <v>31</v>
      </c>
    </row>
    <row r="9" spans="2:5" x14ac:dyDescent="0.3">
      <c r="C9" t="s">
        <v>32</v>
      </c>
    </row>
    <row r="10" spans="2:5" x14ac:dyDescent="0.3">
      <c r="C10" t="s">
        <v>33</v>
      </c>
    </row>
    <row r="13" spans="2:5" x14ac:dyDescent="0.3">
      <c r="B13" s="9" t="s">
        <v>36</v>
      </c>
      <c r="C13" s="9" t="s">
        <v>37</v>
      </c>
    </row>
    <row r="14" spans="2:5" x14ac:dyDescent="0.3">
      <c r="B14" s="10">
        <v>45292</v>
      </c>
      <c r="C14" s="11" t="s">
        <v>35</v>
      </c>
    </row>
    <row r="15" spans="2:5" x14ac:dyDescent="0.3">
      <c r="B15" s="11">
        <v>200</v>
      </c>
      <c r="C15" s="11" t="s">
        <v>34</v>
      </c>
    </row>
    <row r="16" spans="2:5" x14ac:dyDescent="0.3">
      <c r="B16" s="10">
        <v>45317</v>
      </c>
      <c r="C16" s="11" t="s">
        <v>38</v>
      </c>
    </row>
    <row r="17" spans="2:6" x14ac:dyDescent="0.3">
      <c r="B17" s="10">
        <v>45519</v>
      </c>
      <c r="C17" s="11" t="s">
        <v>38</v>
      </c>
    </row>
    <row r="18" spans="2:6" x14ac:dyDescent="0.3">
      <c r="D18" s="7"/>
    </row>
    <row r="19" spans="2:6" x14ac:dyDescent="0.3">
      <c r="B19" s="14" t="s">
        <v>39</v>
      </c>
      <c r="C19" s="13"/>
      <c r="D19" s="13"/>
      <c r="E19" s="13"/>
      <c r="F19" s="13"/>
    </row>
    <row r="20" spans="2:6" x14ac:dyDescent="0.3">
      <c r="B20" s="14" t="s">
        <v>40</v>
      </c>
      <c r="C20" s="13"/>
      <c r="D20" s="13"/>
      <c r="E20" s="13"/>
      <c r="F20" s="13"/>
    </row>
    <row r="22" spans="2:6" x14ac:dyDescent="0.3">
      <c r="B22" s="12" t="s">
        <v>6</v>
      </c>
      <c r="D22" s="3" t="s">
        <v>5</v>
      </c>
      <c r="E22" s="15"/>
    </row>
    <row r="23" spans="2:6" x14ac:dyDescent="0.3">
      <c r="B23" s="4">
        <f>WORKDAY(B14,B15)</f>
        <v>45572</v>
      </c>
      <c r="D23" s="4" t="s">
        <v>41</v>
      </c>
      <c r="E23" s="15"/>
    </row>
    <row r="24" spans="2:6" x14ac:dyDescent="0.3">
      <c r="B24" s="4">
        <f>WORKDAY(B14,B15,B16:B17)</f>
        <v>45574</v>
      </c>
      <c r="D24" s="3" t="s">
        <v>42</v>
      </c>
      <c r="E24" s="15"/>
    </row>
    <row r="26" spans="2:6" x14ac:dyDescent="0.3">
      <c r="D26" s="15"/>
    </row>
    <row r="27" spans="2:6" x14ac:dyDescent="0.3">
      <c r="B27" s="1" t="s">
        <v>43</v>
      </c>
      <c r="D27" s="15"/>
    </row>
    <row r="28" spans="2:6" x14ac:dyDescent="0.3">
      <c r="B28" t="s">
        <v>44</v>
      </c>
      <c r="D28" s="15"/>
    </row>
    <row r="29" spans="2:6" x14ac:dyDescent="0.3">
      <c r="B29" t="s">
        <v>45</v>
      </c>
    </row>
    <row r="31" spans="2:6" x14ac:dyDescent="0.3">
      <c r="B31" s="1" t="s">
        <v>46</v>
      </c>
    </row>
    <row r="32" spans="2:6" x14ac:dyDescent="0.3">
      <c r="C32" t="s">
        <v>49</v>
      </c>
    </row>
    <row r="33" spans="2:5" x14ac:dyDescent="0.3">
      <c r="C33" t="s">
        <v>50</v>
      </c>
    </row>
    <row r="34" spans="2:5" x14ac:dyDescent="0.3">
      <c r="C34" t="s">
        <v>51</v>
      </c>
    </row>
    <row r="36" spans="2:5" x14ac:dyDescent="0.3">
      <c r="B36" s="9" t="s">
        <v>48</v>
      </c>
      <c r="C36" s="9" t="s">
        <v>37</v>
      </c>
    </row>
    <row r="37" spans="2:5" x14ac:dyDescent="0.3">
      <c r="B37" s="10">
        <v>45292</v>
      </c>
      <c r="C37" s="11" t="s">
        <v>35</v>
      </c>
    </row>
    <row r="38" spans="2:5" x14ac:dyDescent="0.3">
      <c r="B38" s="10">
        <v>45565</v>
      </c>
      <c r="C38" s="11" t="s">
        <v>47</v>
      </c>
    </row>
    <row r="39" spans="2:5" x14ac:dyDescent="0.3">
      <c r="B39" s="10">
        <v>45317</v>
      </c>
      <c r="C39" s="11" t="s">
        <v>38</v>
      </c>
    </row>
    <row r="40" spans="2:5" x14ac:dyDescent="0.3">
      <c r="B40" s="10">
        <v>45519</v>
      </c>
      <c r="C40" s="11" t="s">
        <v>38</v>
      </c>
    </row>
    <row r="42" spans="2:5" x14ac:dyDescent="0.3">
      <c r="B42" s="13" t="s">
        <v>55</v>
      </c>
      <c r="C42" s="13"/>
      <c r="D42" s="13"/>
      <c r="E42" s="13"/>
    </row>
    <row r="43" spans="2:5" x14ac:dyDescent="0.3">
      <c r="B43" s="13" t="s">
        <v>56</v>
      </c>
      <c r="C43" s="13"/>
      <c r="D43" s="13"/>
      <c r="E43" s="13"/>
    </row>
    <row r="45" spans="2:5" x14ac:dyDescent="0.3">
      <c r="B45" s="9" t="s">
        <v>6</v>
      </c>
      <c r="C45" s="18" t="s">
        <v>52</v>
      </c>
    </row>
    <row r="46" spans="2:5" x14ac:dyDescent="0.3">
      <c r="B46" s="11">
        <f>NETWORKDAYS(B37,B38)</f>
        <v>196</v>
      </c>
      <c r="C46" t="s">
        <v>53</v>
      </c>
    </row>
    <row r="47" spans="2:5" x14ac:dyDescent="0.3">
      <c r="B47" s="11">
        <f>NETWORKDAYS(B37,B38,B39:B40)</f>
        <v>194</v>
      </c>
      <c r="C47" t="s">
        <v>54</v>
      </c>
    </row>
    <row r="50" spans="2:6" x14ac:dyDescent="0.3">
      <c r="B50" s="1" t="s">
        <v>57</v>
      </c>
    </row>
    <row r="51" spans="2:6" x14ac:dyDescent="0.3">
      <c r="B51" t="s">
        <v>58</v>
      </c>
    </row>
    <row r="53" spans="2:6" x14ac:dyDescent="0.3">
      <c r="B53" t="s">
        <v>59</v>
      </c>
    </row>
    <row r="54" spans="2:6" x14ac:dyDescent="0.3">
      <c r="C54" t="s">
        <v>49</v>
      </c>
    </row>
    <row r="55" spans="2:6" x14ac:dyDescent="0.3">
      <c r="C55" t="s">
        <v>60</v>
      </c>
    </row>
    <row r="57" spans="2:6" x14ac:dyDescent="0.3">
      <c r="B57" s="9" t="s">
        <v>48</v>
      </c>
    </row>
    <row r="58" spans="2:6" x14ac:dyDescent="0.3">
      <c r="B58" s="10">
        <v>45317</v>
      </c>
    </row>
    <row r="59" spans="2:6" x14ac:dyDescent="0.3">
      <c r="B59" s="10">
        <v>45381</v>
      </c>
    </row>
    <row r="61" spans="2:6" x14ac:dyDescent="0.3">
      <c r="B61" s="8" t="s">
        <v>5</v>
      </c>
      <c r="F61" s="8" t="s">
        <v>6</v>
      </c>
    </row>
    <row r="62" spans="2:6" x14ac:dyDescent="0.3">
      <c r="B62" s="19" t="s">
        <v>64</v>
      </c>
      <c r="C62" t="s">
        <v>61</v>
      </c>
      <c r="F62" s="7">
        <f>EDATE(B58,1)</f>
        <v>45348</v>
      </c>
    </row>
    <row r="63" spans="2:6" x14ac:dyDescent="0.3">
      <c r="B63" s="19" t="s">
        <v>65</v>
      </c>
      <c r="C63" s="7" t="s">
        <v>62</v>
      </c>
      <c r="F63" s="7">
        <f>EDATE(B59,-1)</f>
        <v>45351</v>
      </c>
    </row>
    <row r="64" spans="2:6" x14ac:dyDescent="0.3">
      <c r="B64" s="19" t="s">
        <v>66</v>
      </c>
      <c r="C64" t="s">
        <v>63</v>
      </c>
      <c r="F64" s="7">
        <f>EDATE(B58,12)</f>
        <v>45683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2025-10-27T14:17:49Z</dcterms:created>
  <dcterms:modified xsi:type="dcterms:W3CDTF">2026-05-02T15:32:57Z</dcterms:modified>
</cp:coreProperties>
</file>