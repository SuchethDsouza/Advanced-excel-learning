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CD702A5C-8A65-4AFF-9B29-90A58BFD8BA7}" xr6:coauthVersionLast="41" xr6:coauthVersionMax="41" xr10:uidLastSave="{00000000-0000-0000-0000-000000000000}"/>
  <bookViews>
    <workbookView xWindow="-108" yWindow="-108" windowWidth="23256" windowHeight="12456" activeTab="3" xr2:uid="{52ECE178-D15C-4A4E-8EBE-14CA598F1EF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4" l="1"/>
  <c r="E29" i="4"/>
  <c r="E30" i="4"/>
  <c r="E45" i="4"/>
  <c r="E44" i="4"/>
  <c r="E43" i="4"/>
  <c r="F14" i="4"/>
  <c r="F13" i="4"/>
  <c r="F12" i="4"/>
  <c r="F11" i="4"/>
  <c r="E18" i="3"/>
  <c r="E7" i="3"/>
  <c r="E6" i="3"/>
  <c r="C36" i="2" l="1"/>
  <c r="D23" i="2"/>
  <c r="D22" i="2"/>
  <c r="D21" i="2"/>
  <c r="D20" i="2"/>
  <c r="D10" i="2"/>
  <c r="D9" i="2"/>
  <c r="D8" i="2"/>
  <c r="D7" i="2"/>
  <c r="E17" i="1"/>
  <c r="E16" i="1"/>
  <c r="E15" i="1"/>
  <c r="E14" i="1"/>
  <c r="H8" i="1"/>
  <c r="H9" i="1"/>
  <c r="H10" i="1"/>
  <c r="H11" i="1"/>
  <c r="H12" i="1"/>
  <c r="H7" i="1"/>
  <c r="G8" i="1"/>
  <c r="G9" i="1"/>
  <c r="G10" i="1"/>
  <c r="G11" i="1"/>
  <c r="G12" i="1"/>
  <c r="G7" i="1"/>
</calcChain>
</file>

<file path=xl/sharedStrings.xml><?xml version="1.0" encoding="utf-8"?>
<sst xmlns="http://schemas.openxmlformats.org/spreadsheetml/2006/main" count="114" uniqueCount="88">
  <si>
    <t>Numerical Function</t>
  </si>
  <si>
    <t>Roll No</t>
  </si>
  <si>
    <t>Stu Name</t>
  </si>
  <si>
    <t>Physics</t>
  </si>
  <si>
    <t>Chemistry</t>
  </si>
  <si>
    <t>Maths</t>
  </si>
  <si>
    <t>Total</t>
  </si>
  <si>
    <t>John</t>
  </si>
  <si>
    <t>Smith</t>
  </si>
  <si>
    <t>Ravi</t>
  </si>
  <si>
    <t>Suresh</t>
  </si>
  <si>
    <t>Suman</t>
  </si>
  <si>
    <t>Gaurav</t>
  </si>
  <si>
    <t>Percentage</t>
  </si>
  <si>
    <t>Total No of Students</t>
  </si>
  <si>
    <t>Average Marks in Maths</t>
  </si>
  <si>
    <t>Highest Score in Physics</t>
  </si>
  <si>
    <t>Lowest Score in Maths</t>
  </si>
  <si>
    <t>Highest Score</t>
  </si>
  <si>
    <t>Student Result</t>
  </si>
  <si>
    <t xml:space="preserve"> </t>
  </si>
  <si>
    <t>Formula</t>
  </si>
  <si>
    <t>Description</t>
  </si>
  <si>
    <t>Result</t>
  </si>
  <si>
    <t>Rounds 2.15 to one decimal place</t>
  </si>
  <si>
    <t>Rounds 2.149 to one decimal place</t>
  </si>
  <si>
    <t>Rounds -1.475 to two decimal places</t>
  </si>
  <si>
    <t>Rounds 21.5 to one decimal place to the left of the decimal point</t>
  </si>
  <si>
    <t>ROUND(2.15, 1)</t>
  </si>
  <si>
    <t>ROUND(2.149, 1)</t>
  </si>
  <si>
    <t>ROUND(-1.475, 2)</t>
  </si>
  <si>
    <t>ROUND(21.5, -1)</t>
  </si>
  <si>
    <t>ROUND FUNCTION</t>
  </si>
  <si>
    <r>
      <t xml:space="preserve">Syntax:    </t>
    </r>
    <r>
      <rPr>
        <b/>
        <sz val="11"/>
        <color theme="1"/>
        <rFont val="Calibri"/>
        <family val="2"/>
        <scheme val="minor"/>
      </rPr>
      <t>ROUND(number,num_digit)</t>
    </r>
  </si>
  <si>
    <t>CEILING function</t>
  </si>
  <si>
    <t>Rounds 2.5 up to nearest multiple of 1</t>
  </si>
  <si>
    <t>Rounds 2.5 up to nearest multiple of 2</t>
  </si>
  <si>
    <t>Rounds 10 up to the nearest multiple of 3</t>
  </si>
  <si>
    <t>Rounds 610 up to nearest multiple of 100</t>
  </si>
  <si>
    <t>CEILING(2.5, 1)</t>
  </si>
  <si>
    <t>CEILING(2.5, 2)</t>
  </si>
  <si>
    <t>CEILING(10, 3)</t>
  </si>
  <si>
    <t>CEILING(610, 100)</t>
  </si>
  <si>
    <r>
      <t xml:space="preserve">Syntax:  </t>
    </r>
    <r>
      <rPr>
        <b/>
        <sz val="11"/>
        <color theme="1"/>
        <rFont val="Calibri"/>
        <family val="2"/>
        <scheme val="minor"/>
      </rPr>
      <t>CEILING(number,significance)</t>
    </r>
  </si>
  <si>
    <t>FLOOR function</t>
  </si>
  <si>
    <r>
      <t xml:space="preserve">Syntax: </t>
    </r>
    <r>
      <rPr>
        <b/>
        <sz val="11"/>
        <color theme="1"/>
        <rFont val="Calibri"/>
        <family val="2"/>
        <scheme val="minor"/>
      </rPr>
      <t>FLOOR(number,significance)</t>
    </r>
  </si>
  <si>
    <t>Rounds 3.7 down to nearest multiple of 2</t>
  </si>
  <si>
    <t>Rounds 2.5 down to nearest multiple of 2</t>
  </si>
  <si>
    <t>Rounds 10 down to the nearest multiple of 3</t>
  </si>
  <si>
    <t>Rounds 610 down to the nearest multiple of 100</t>
  </si>
  <si>
    <t>FLOOR(3.7, 2)</t>
  </si>
  <si>
    <t>FLOOR(2.5, 2)</t>
  </si>
  <si>
    <t>FLOOR(10, 3)</t>
  </si>
  <si>
    <t>FLOOR(610, 100)</t>
  </si>
  <si>
    <t>Median AND Mode Function</t>
  </si>
  <si>
    <t>Data</t>
  </si>
  <si>
    <t>Formula Result</t>
  </si>
  <si>
    <t>median(B6:B11)</t>
  </si>
  <si>
    <t>median(B6:B10)</t>
  </si>
  <si>
    <t>Mode Function</t>
  </si>
  <si>
    <t>Value</t>
  </si>
  <si>
    <t>mode(B21:B26)</t>
  </si>
  <si>
    <t>RANK Function</t>
  </si>
  <si>
    <t xml:space="preserve">Find Number </t>
  </si>
  <si>
    <t>Rank(E6,B7:B14,0)</t>
  </si>
  <si>
    <t>Descending order</t>
  </si>
  <si>
    <t>Rank(E6,B7:B14,1)</t>
  </si>
  <si>
    <t>Ascending order</t>
  </si>
  <si>
    <t>Rank(E7,B7:B14,1)</t>
  </si>
  <si>
    <t>Rank(E7,B7:B14,0)</t>
  </si>
  <si>
    <t>LARGE Function</t>
  </si>
  <si>
    <t>Position Number</t>
  </si>
  <si>
    <t>N-th largest value</t>
  </si>
  <si>
    <t>LARGE(B22:B30,E21)</t>
  </si>
  <si>
    <t>LARGE(B22:B30,E22)</t>
  </si>
  <si>
    <t>LARGE(B22:B30,E23)</t>
  </si>
  <si>
    <t>Small Function</t>
  </si>
  <si>
    <t>N-th smallest value</t>
  </si>
  <si>
    <t>SMALL(B38:B46,E37)</t>
  </si>
  <si>
    <t>SMALL(B39:B46,E38)</t>
  </si>
  <si>
    <t>SMALL(B40:B46,E39)</t>
  </si>
  <si>
    <t>It returns the rank of a number in a list of numbers the rank of a number is its size relative to other values in a list.</t>
  </si>
  <si>
    <t>Syntax : RANK(Number ,Reference ,[Order ])</t>
  </si>
  <si>
    <t xml:space="preserve">Returns the nth largest value in the data set you can use this function to select a value based on its relative standing </t>
  </si>
  <si>
    <t>Syntax :LARGE(Range , N)</t>
  </si>
  <si>
    <t xml:space="preserve">Returns the nth smallest value in a data set </t>
  </si>
  <si>
    <t xml:space="preserve">Use this function to return values with a particular relative standing in a data set </t>
  </si>
  <si>
    <t>Syntax : SMALL(Range,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</si>
</sst>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51C6-54AE-47F7-9A68-79E81B9F6EE6}">
  <dimension ref="B2:J18"/>
  <sheetViews>
    <sheetView zoomScale="130" zoomScaleNormal="130" workbookViewId="0">
      <selection activeCell="D20" sqref="D20"/>
    </sheetView>
  </sheetViews>
  <sheetFormatPr defaultRowHeight="14.4" x14ac:dyDescent="0.3"/>
  <cols>
    <col min="5" max="5" width="10" customWidth="1"/>
    <col min="8" max="8" width="11" customWidth="1"/>
  </cols>
  <sheetData>
    <row r="2" spans="2:10" x14ac:dyDescent="0.3">
      <c r="B2" t="s">
        <v>0</v>
      </c>
    </row>
    <row r="4" spans="2:10" ht="15.6" x14ac:dyDescent="0.3">
      <c r="B4" s="20" t="s">
        <v>19</v>
      </c>
      <c r="C4" s="20"/>
      <c r="D4" s="20"/>
      <c r="E4" s="20"/>
      <c r="F4" s="20"/>
      <c r="G4" s="20"/>
      <c r="H4" s="20"/>
    </row>
    <row r="6" spans="2:10" ht="15.6" x14ac:dyDescent="0.3">
      <c r="B6" s="11" t="s">
        <v>1</v>
      </c>
      <c r="C6" s="11" t="s">
        <v>2</v>
      </c>
      <c r="D6" s="11" t="s">
        <v>3</v>
      </c>
      <c r="E6" s="11" t="s">
        <v>4</v>
      </c>
      <c r="F6" s="11" t="s">
        <v>5</v>
      </c>
      <c r="G6" s="11" t="s">
        <v>6</v>
      </c>
      <c r="H6" s="11" t="s">
        <v>13</v>
      </c>
    </row>
    <row r="7" spans="2:10" ht="15.6" x14ac:dyDescent="0.3">
      <c r="B7" s="12">
        <v>101</v>
      </c>
      <c r="C7" s="13" t="s">
        <v>7</v>
      </c>
      <c r="D7" s="13">
        <v>89</v>
      </c>
      <c r="E7" s="13">
        <v>78</v>
      </c>
      <c r="F7" s="13">
        <v>90</v>
      </c>
      <c r="G7" s="13">
        <f>SUM(D7:F7)</f>
        <v>257</v>
      </c>
      <c r="H7" s="14">
        <f>G7/300*100</f>
        <v>85.666666666666671</v>
      </c>
    </row>
    <row r="8" spans="2:10" ht="15.6" x14ac:dyDescent="0.3">
      <c r="B8" s="12">
        <v>102</v>
      </c>
      <c r="C8" s="13" t="s">
        <v>8</v>
      </c>
      <c r="D8" s="13">
        <v>44</v>
      </c>
      <c r="E8" s="13">
        <v>67</v>
      </c>
      <c r="F8" s="13">
        <v>76</v>
      </c>
      <c r="G8" s="13">
        <f t="shared" ref="G8:G12" si="0">SUM(D8:F8)</f>
        <v>187</v>
      </c>
      <c r="H8" s="14">
        <f t="shared" ref="H8:H12" si="1">G8/300*100</f>
        <v>62.333333333333329</v>
      </c>
    </row>
    <row r="9" spans="2:10" ht="15.6" x14ac:dyDescent="0.3">
      <c r="B9" s="12">
        <v>103</v>
      </c>
      <c r="C9" s="13" t="s">
        <v>9</v>
      </c>
      <c r="D9" s="13">
        <v>78</v>
      </c>
      <c r="E9" s="13">
        <v>45</v>
      </c>
      <c r="F9" s="13">
        <v>53</v>
      </c>
      <c r="G9" s="13">
        <f t="shared" si="0"/>
        <v>176</v>
      </c>
      <c r="H9" s="14">
        <f t="shared" si="1"/>
        <v>58.666666666666664</v>
      </c>
      <c r="J9" t="s">
        <v>20</v>
      </c>
    </row>
    <row r="10" spans="2:10" ht="15.6" x14ac:dyDescent="0.3">
      <c r="B10" s="12">
        <v>104</v>
      </c>
      <c r="C10" s="13" t="s">
        <v>10</v>
      </c>
      <c r="D10" s="13">
        <v>34</v>
      </c>
      <c r="E10" s="13">
        <v>51</v>
      </c>
      <c r="F10" s="13">
        <v>27</v>
      </c>
      <c r="G10" s="13">
        <f t="shared" si="0"/>
        <v>112</v>
      </c>
      <c r="H10" s="14">
        <f t="shared" si="1"/>
        <v>37.333333333333336</v>
      </c>
    </row>
    <row r="11" spans="2:10" ht="15.6" x14ac:dyDescent="0.3">
      <c r="B11" s="12">
        <v>105</v>
      </c>
      <c r="C11" s="13" t="s">
        <v>11</v>
      </c>
      <c r="D11" s="13">
        <v>73</v>
      </c>
      <c r="E11" s="13">
        <v>44</v>
      </c>
      <c r="F11" s="13">
        <v>89</v>
      </c>
      <c r="G11" s="13">
        <f t="shared" si="0"/>
        <v>206</v>
      </c>
      <c r="H11" s="14">
        <f t="shared" si="1"/>
        <v>68.666666666666671</v>
      </c>
    </row>
    <row r="12" spans="2:10" ht="15.6" x14ac:dyDescent="0.3">
      <c r="B12" s="12">
        <v>106</v>
      </c>
      <c r="C12" s="13" t="s">
        <v>12</v>
      </c>
      <c r="D12" s="13">
        <v>19</v>
      </c>
      <c r="E12" s="13">
        <v>45</v>
      </c>
      <c r="F12" s="13">
        <v>72</v>
      </c>
      <c r="G12" s="13">
        <f t="shared" si="0"/>
        <v>136</v>
      </c>
      <c r="H12" s="14">
        <f t="shared" si="1"/>
        <v>45.333333333333329</v>
      </c>
    </row>
    <row r="14" spans="2:10" x14ac:dyDescent="0.3">
      <c r="B14" s="3" t="s">
        <v>14</v>
      </c>
      <c r="C14" s="4"/>
      <c r="D14" s="5"/>
      <c r="E14" s="1">
        <f>COUNT(B7:B12)</f>
        <v>6</v>
      </c>
    </row>
    <row r="15" spans="2:10" x14ac:dyDescent="0.3">
      <c r="B15" s="6" t="s">
        <v>15</v>
      </c>
      <c r="C15" s="2"/>
      <c r="D15" s="7"/>
      <c r="E15" s="1">
        <f>AVERAGE(F7:F12)</f>
        <v>67.833333333333329</v>
      </c>
    </row>
    <row r="16" spans="2:10" x14ac:dyDescent="0.3">
      <c r="B16" s="6" t="s">
        <v>16</v>
      </c>
      <c r="C16" s="2"/>
      <c r="D16" s="7"/>
      <c r="E16" s="1">
        <f>MAX(D7:D12)</f>
        <v>89</v>
      </c>
    </row>
    <row r="17" spans="2:5" x14ac:dyDescent="0.3">
      <c r="B17" s="6" t="s">
        <v>17</v>
      </c>
      <c r="C17" s="2"/>
      <c r="D17" s="7"/>
      <c r="E17" s="1">
        <f>MIN(F7:F12)</f>
        <v>27</v>
      </c>
    </row>
    <row r="18" spans="2:5" x14ac:dyDescent="0.3">
      <c r="B18" s="9" t="s">
        <v>18</v>
      </c>
      <c r="C18" s="10"/>
      <c r="D18" s="8"/>
      <c r="E18" s="1"/>
    </row>
  </sheetData>
  <mergeCells count="1">
    <mergeCell ref="B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E781-E15A-406F-AD87-3F9E73B08F24}">
  <dimension ref="B2:D36"/>
  <sheetViews>
    <sheetView zoomScale="115" zoomScaleNormal="115" workbookViewId="0">
      <selection activeCell="C13" sqref="C13"/>
    </sheetView>
  </sheetViews>
  <sheetFormatPr defaultRowHeight="14.4" x14ac:dyDescent="0.3"/>
  <cols>
    <col min="1" max="1" width="8.88671875" customWidth="1"/>
    <col min="2" max="2" width="17" customWidth="1"/>
    <col min="3" max="3" width="58.5546875" customWidth="1"/>
    <col min="4" max="4" width="11.77734375" customWidth="1"/>
  </cols>
  <sheetData>
    <row r="2" spans="2:4" x14ac:dyDescent="0.3">
      <c r="B2" s="15" t="s">
        <v>32</v>
      </c>
    </row>
    <row r="4" spans="2:4" x14ac:dyDescent="0.3">
      <c r="B4" t="s">
        <v>33</v>
      </c>
    </row>
    <row r="6" spans="2:4" x14ac:dyDescent="0.3">
      <c r="B6" s="16" t="s">
        <v>21</v>
      </c>
      <c r="C6" s="16" t="s">
        <v>22</v>
      </c>
      <c r="D6" s="16" t="s">
        <v>23</v>
      </c>
    </row>
    <row r="7" spans="2:4" x14ac:dyDescent="0.3">
      <c r="B7" s="1" t="s">
        <v>28</v>
      </c>
      <c r="C7" s="1" t="s">
        <v>24</v>
      </c>
      <c r="D7" s="1">
        <f>ROUND(2.15,1)</f>
        <v>2.2000000000000002</v>
      </c>
    </row>
    <row r="8" spans="2:4" x14ac:dyDescent="0.3">
      <c r="B8" s="1" t="s">
        <v>29</v>
      </c>
      <c r="C8" s="1" t="s">
        <v>25</v>
      </c>
      <c r="D8" s="1">
        <f>ROUND(2.149,1)</f>
        <v>2.1</v>
      </c>
    </row>
    <row r="9" spans="2:4" x14ac:dyDescent="0.3">
      <c r="B9" s="1" t="s">
        <v>30</v>
      </c>
      <c r="C9" s="1" t="s">
        <v>26</v>
      </c>
      <c r="D9" s="1">
        <f>ROUND(-1.475,2)</f>
        <v>-1.48</v>
      </c>
    </row>
    <row r="10" spans="2:4" x14ac:dyDescent="0.3">
      <c r="B10" s="1" t="s">
        <v>31</v>
      </c>
      <c r="C10" s="1" t="s">
        <v>27</v>
      </c>
      <c r="D10" s="1">
        <f>ROUND(21.5,-1)</f>
        <v>20</v>
      </c>
    </row>
    <row r="16" spans="2:4" x14ac:dyDescent="0.3">
      <c r="B16" s="15" t="s">
        <v>34</v>
      </c>
    </row>
    <row r="17" spans="2:4" x14ac:dyDescent="0.3">
      <c r="B17" t="s">
        <v>43</v>
      </c>
    </row>
    <row r="19" spans="2:4" x14ac:dyDescent="0.3">
      <c r="B19" s="16" t="s">
        <v>21</v>
      </c>
      <c r="C19" s="16" t="s">
        <v>22</v>
      </c>
      <c r="D19" s="16" t="s">
        <v>23</v>
      </c>
    </row>
    <row r="20" spans="2:4" x14ac:dyDescent="0.3">
      <c r="B20" s="1" t="s">
        <v>39</v>
      </c>
      <c r="C20" s="1" t="s">
        <v>35</v>
      </c>
      <c r="D20" s="1">
        <f>CEILING(2.5, 1)</f>
        <v>3</v>
      </c>
    </row>
    <row r="21" spans="2:4" x14ac:dyDescent="0.3">
      <c r="B21" s="1" t="s">
        <v>40</v>
      </c>
      <c r="C21" s="1" t="s">
        <v>36</v>
      </c>
      <c r="D21" s="1">
        <f>CEILING(2.5, 2)</f>
        <v>4</v>
      </c>
    </row>
    <row r="22" spans="2:4" x14ac:dyDescent="0.3">
      <c r="B22" s="1" t="s">
        <v>41</v>
      </c>
      <c r="C22" s="1" t="s">
        <v>37</v>
      </c>
      <c r="D22" s="1">
        <f>CEILING(10, 3)</f>
        <v>12</v>
      </c>
    </row>
    <row r="23" spans="2:4" x14ac:dyDescent="0.3">
      <c r="B23" s="1" t="s">
        <v>42</v>
      </c>
      <c r="C23" s="1" t="s">
        <v>38</v>
      </c>
      <c r="D23" s="1">
        <f>CEILING(610, 100)</f>
        <v>700</v>
      </c>
    </row>
    <row r="27" spans="2:4" x14ac:dyDescent="0.3">
      <c r="B27" s="15" t="s">
        <v>44</v>
      </c>
    </row>
    <row r="28" spans="2:4" x14ac:dyDescent="0.3">
      <c r="B28" t="s">
        <v>45</v>
      </c>
    </row>
    <row r="30" spans="2:4" x14ac:dyDescent="0.3">
      <c r="B30" s="15" t="s">
        <v>21</v>
      </c>
      <c r="C30" s="15" t="s">
        <v>22</v>
      </c>
      <c r="D30" s="15" t="s">
        <v>23</v>
      </c>
    </row>
    <row r="31" spans="2:4" x14ac:dyDescent="0.3">
      <c r="B31" t="s">
        <v>50</v>
      </c>
      <c r="C31" t="s">
        <v>46</v>
      </c>
      <c r="D31">
        <v>2</v>
      </c>
    </row>
    <row r="32" spans="2:4" x14ac:dyDescent="0.3">
      <c r="B32" t="s">
        <v>51</v>
      </c>
      <c r="C32" t="s">
        <v>47</v>
      </c>
      <c r="D32">
        <v>2</v>
      </c>
    </row>
    <row r="33" spans="2:4" x14ac:dyDescent="0.3">
      <c r="B33" t="s">
        <v>52</v>
      </c>
      <c r="C33" t="s">
        <v>48</v>
      </c>
      <c r="D33">
        <v>9</v>
      </c>
    </row>
    <row r="34" spans="2:4" x14ac:dyDescent="0.3">
      <c r="B34" t="s">
        <v>53</v>
      </c>
      <c r="C34" t="s">
        <v>49</v>
      </c>
      <c r="D34">
        <v>600</v>
      </c>
    </row>
    <row r="36" spans="2:4" x14ac:dyDescent="0.3">
      <c r="B36">
        <v>2.65</v>
      </c>
      <c r="C36" s="1">
        <f>CEILING(B36,0.2)</f>
        <v>2.8000000000000003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63B5-C893-49DE-8592-0A4755CD9C41}">
  <dimension ref="B2:E23"/>
  <sheetViews>
    <sheetView zoomScale="160" zoomScaleNormal="160" workbookViewId="0">
      <selection activeCell="D17" sqref="D17"/>
    </sheetView>
  </sheetViews>
  <sheetFormatPr defaultRowHeight="14.4" x14ac:dyDescent="0.3"/>
  <cols>
    <col min="4" max="4" width="14.44140625" customWidth="1"/>
  </cols>
  <sheetData>
    <row r="2" spans="2:5" x14ac:dyDescent="0.3">
      <c r="B2" t="s">
        <v>54</v>
      </c>
    </row>
    <row r="5" spans="2:5" x14ac:dyDescent="0.3">
      <c r="B5" s="17" t="s">
        <v>55</v>
      </c>
      <c r="D5" s="1" t="s">
        <v>21</v>
      </c>
      <c r="E5" s="1" t="s">
        <v>23</v>
      </c>
    </row>
    <row r="6" spans="2:5" x14ac:dyDescent="0.3">
      <c r="B6" s="17">
        <v>10</v>
      </c>
      <c r="D6" s="1" t="s">
        <v>57</v>
      </c>
      <c r="E6" s="1">
        <f>MEDIAN(B6:B11)</f>
        <v>35</v>
      </c>
    </row>
    <row r="7" spans="2:5" x14ac:dyDescent="0.3">
      <c r="B7" s="17">
        <v>20</v>
      </c>
      <c r="D7" s="1" t="s">
        <v>58</v>
      </c>
      <c r="E7" s="1">
        <f>MEDIAN(B6:B10)</f>
        <v>30</v>
      </c>
    </row>
    <row r="8" spans="2:5" x14ac:dyDescent="0.3">
      <c r="B8" s="17">
        <v>30</v>
      </c>
    </row>
    <row r="9" spans="2:5" x14ac:dyDescent="0.3">
      <c r="B9" s="17">
        <v>40</v>
      </c>
    </row>
    <row r="10" spans="2:5" x14ac:dyDescent="0.3">
      <c r="B10" s="17">
        <v>50</v>
      </c>
    </row>
    <row r="11" spans="2:5" x14ac:dyDescent="0.3">
      <c r="B11" s="17">
        <v>60</v>
      </c>
    </row>
    <row r="14" spans="2:5" x14ac:dyDescent="0.3">
      <c r="B14" t="s">
        <v>59</v>
      </c>
    </row>
    <row r="17" spans="2:5" x14ac:dyDescent="0.3">
      <c r="B17" s="17" t="s">
        <v>55</v>
      </c>
      <c r="D17" s="17" t="s">
        <v>56</v>
      </c>
      <c r="E17" s="17" t="s">
        <v>60</v>
      </c>
    </row>
    <row r="18" spans="2:5" x14ac:dyDescent="0.3">
      <c r="B18" s="17">
        <v>10</v>
      </c>
      <c r="D18" s="17" t="s">
        <v>61</v>
      </c>
      <c r="E18" s="17">
        <f>MODE(B18:B23)</f>
        <v>10</v>
      </c>
    </row>
    <row r="19" spans="2:5" x14ac:dyDescent="0.3">
      <c r="B19" s="17">
        <v>22</v>
      </c>
    </row>
    <row r="20" spans="2:5" x14ac:dyDescent="0.3">
      <c r="B20" s="17">
        <v>33</v>
      </c>
    </row>
    <row r="21" spans="2:5" x14ac:dyDescent="0.3">
      <c r="B21" s="17">
        <v>10</v>
      </c>
    </row>
    <row r="22" spans="2:5" x14ac:dyDescent="0.3">
      <c r="B22" s="17">
        <v>29</v>
      </c>
    </row>
    <row r="23" spans="2:5" x14ac:dyDescent="0.3">
      <c r="B23" s="17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8862-6D30-453F-BE93-3C545CE55EFA}">
  <dimension ref="A1:F46"/>
  <sheetViews>
    <sheetView tabSelected="1" workbookViewId="0">
      <selection activeCell="H9" sqref="H9"/>
    </sheetView>
  </sheetViews>
  <sheetFormatPr defaultRowHeight="14.4" x14ac:dyDescent="0.3"/>
  <cols>
    <col min="4" max="4" width="19.44140625" customWidth="1"/>
    <col min="5" max="5" width="26.21875" customWidth="1"/>
    <col min="6" max="6" width="15.88671875" customWidth="1"/>
  </cols>
  <sheetData>
    <row r="1" spans="1:6" x14ac:dyDescent="0.3">
      <c r="A1" t="s">
        <v>20</v>
      </c>
    </row>
    <row r="3" spans="1:6" x14ac:dyDescent="0.3">
      <c r="B3" s="21" t="s">
        <v>62</v>
      </c>
      <c r="C3" s="21"/>
      <c r="D3" s="21"/>
      <c r="E3" s="21"/>
    </row>
    <row r="4" spans="1:6" x14ac:dyDescent="0.3">
      <c r="B4" t="s">
        <v>81</v>
      </c>
    </row>
    <row r="5" spans="1:6" x14ac:dyDescent="0.3">
      <c r="B5" t="s">
        <v>82</v>
      </c>
    </row>
    <row r="7" spans="1:6" x14ac:dyDescent="0.3">
      <c r="B7" s="19" t="s">
        <v>55</v>
      </c>
      <c r="D7" s="1" t="s">
        <v>63</v>
      </c>
      <c r="E7" s="1">
        <v>9</v>
      </c>
    </row>
    <row r="8" spans="1:6" x14ac:dyDescent="0.3">
      <c r="B8" s="17">
        <v>1</v>
      </c>
      <c r="D8" s="1" t="s">
        <v>63</v>
      </c>
      <c r="E8" s="1">
        <v>5</v>
      </c>
    </row>
    <row r="9" spans="1:6" x14ac:dyDescent="0.3">
      <c r="B9" s="17">
        <v>2</v>
      </c>
    </row>
    <row r="10" spans="1:6" x14ac:dyDescent="0.3">
      <c r="B10" s="17">
        <v>3</v>
      </c>
      <c r="D10" s="17" t="s">
        <v>21</v>
      </c>
      <c r="E10" s="17" t="s">
        <v>22</v>
      </c>
      <c r="F10" s="17" t="s">
        <v>23</v>
      </c>
    </row>
    <row r="11" spans="1:6" x14ac:dyDescent="0.3">
      <c r="B11" s="17">
        <v>5</v>
      </c>
      <c r="D11" s="18" t="s">
        <v>64</v>
      </c>
      <c r="E11" s="17" t="s">
        <v>65</v>
      </c>
      <c r="F11" s="18">
        <f>RANK(E7,B8:B15,0)</f>
        <v>2</v>
      </c>
    </row>
    <row r="12" spans="1:6" x14ac:dyDescent="0.3">
      <c r="B12" s="17">
        <v>7</v>
      </c>
      <c r="D12" s="18" t="s">
        <v>66</v>
      </c>
      <c r="E12" s="17" t="s">
        <v>67</v>
      </c>
      <c r="F12" s="18">
        <f>RANK(E7,B8:B15,1)</f>
        <v>7</v>
      </c>
    </row>
    <row r="13" spans="1:6" x14ac:dyDescent="0.3">
      <c r="B13" s="17">
        <v>8</v>
      </c>
      <c r="D13" s="18" t="s">
        <v>69</v>
      </c>
      <c r="E13" s="17" t="s">
        <v>65</v>
      </c>
      <c r="F13" s="18">
        <f>RANK(E8,B8:B15,0)</f>
        <v>5</v>
      </c>
    </row>
    <row r="14" spans="1:6" x14ac:dyDescent="0.3">
      <c r="B14" s="17">
        <v>9</v>
      </c>
      <c r="D14" s="18" t="s">
        <v>68</v>
      </c>
      <c r="E14" s="17" t="s">
        <v>67</v>
      </c>
      <c r="F14" s="18">
        <f>RANK(E8,B8:B15,1)</f>
        <v>4</v>
      </c>
    </row>
    <row r="15" spans="1:6" x14ac:dyDescent="0.3">
      <c r="B15" s="17">
        <v>25</v>
      </c>
    </row>
    <row r="17" spans="2:5" x14ac:dyDescent="0.3">
      <c r="B17" s="21" t="s">
        <v>70</v>
      </c>
      <c r="C17" s="21"/>
      <c r="D17" s="21"/>
      <c r="E17" s="21"/>
    </row>
    <row r="18" spans="2:5" x14ac:dyDescent="0.3">
      <c r="B18" t="s">
        <v>83</v>
      </c>
    </row>
    <row r="19" spans="2:5" x14ac:dyDescent="0.3">
      <c r="B19" t="s">
        <v>84</v>
      </c>
    </row>
    <row r="21" spans="2:5" x14ac:dyDescent="0.3">
      <c r="B21" s="19" t="s">
        <v>55</v>
      </c>
      <c r="D21" s="1" t="s">
        <v>71</v>
      </c>
      <c r="E21" s="1">
        <v>1</v>
      </c>
    </row>
    <row r="22" spans="2:5" x14ac:dyDescent="0.3">
      <c r="B22" s="17">
        <v>2</v>
      </c>
      <c r="D22" s="1" t="s">
        <v>71</v>
      </c>
      <c r="E22" s="1">
        <v>2</v>
      </c>
    </row>
    <row r="23" spans="2:5" x14ac:dyDescent="0.3">
      <c r="B23" s="17">
        <v>3</v>
      </c>
      <c r="D23" s="1" t="s">
        <v>71</v>
      </c>
      <c r="E23" s="1">
        <v>3</v>
      </c>
    </row>
    <row r="24" spans="2:5" x14ac:dyDescent="0.3">
      <c r="B24" s="17">
        <v>3</v>
      </c>
    </row>
    <row r="25" spans="2:5" x14ac:dyDescent="0.3">
      <c r="B25" s="17">
        <v>4</v>
      </c>
    </row>
    <row r="26" spans="2:5" x14ac:dyDescent="0.3">
      <c r="B26" s="17">
        <v>4</v>
      </c>
    </row>
    <row r="27" spans="2:5" x14ac:dyDescent="0.3">
      <c r="B27" s="17">
        <v>5</v>
      </c>
      <c r="D27" s="17" t="s">
        <v>21</v>
      </c>
      <c r="E27" s="17" t="s">
        <v>72</v>
      </c>
    </row>
    <row r="28" spans="2:5" x14ac:dyDescent="0.3">
      <c r="B28" s="17">
        <v>6</v>
      </c>
      <c r="D28" s="1" t="s">
        <v>73</v>
      </c>
      <c r="E28" s="1">
        <f>LARGE(B22:B30,E21)</f>
        <v>8</v>
      </c>
    </row>
    <row r="29" spans="2:5" x14ac:dyDescent="0.3">
      <c r="B29" s="17">
        <v>7</v>
      </c>
      <c r="D29" s="1" t="s">
        <v>74</v>
      </c>
      <c r="E29" s="1">
        <f>LARGE(B22:B30,E22)</f>
        <v>7</v>
      </c>
    </row>
    <row r="30" spans="2:5" x14ac:dyDescent="0.3">
      <c r="B30" s="17">
        <v>8</v>
      </c>
      <c r="D30" s="1" t="s">
        <v>75</v>
      </c>
      <c r="E30" s="1">
        <f>LARGE(B22:B30,E23)</f>
        <v>6</v>
      </c>
    </row>
    <row r="32" spans="2:5" x14ac:dyDescent="0.3">
      <c r="B32" s="21" t="s">
        <v>76</v>
      </c>
      <c r="C32" s="21"/>
      <c r="D32" s="21"/>
      <c r="E32" s="21"/>
    </row>
    <row r="33" spans="2:5" x14ac:dyDescent="0.3">
      <c r="B33" t="s">
        <v>85</v>
      </c>
    </row>
    <row r="34" spans="2:5" x14ac:dyDescent="0.3">
      <c r="B34" t="s">
        <v>86</v>
      </c>
    </row>
    <row r="35" spans="2:5" x14ac:dyDescent="0.3">
      <c r="B35" t="s">
        <v>87</v>
      </c>
    </row>
    <row r="37" spans="2:5" x14ac:dyDescent="0.3">
      <c r="B37" s="19" t="s">
        <v>55</v>
      </c>
      <c r="D37" s="1" t="s">
        <v>71</v>
      </c>
      <c r="E37" s="1">
        <v>1</v>
      </c>
    </row>
    <row r="38" spans="2:5" x14ac:dyDescent="0.3">
      <c r="B38" s="17">
        <v>11</v>
      </c>
      <c r="D38" s="1" t="s">
        <v>71</v>
      </c>
      <c r="E38" s="1">
        <v>2</v>
      </c>
    </row>
    <row r="39" spans="2:5" x14ac:dyDescent="0.3">
      <c r="B39" s="17">
        <v>12</v>
      </c>
      <c r="D39" s="1" t="s">
        <v>71</v>
      </c>
      <c r="E39" s="1">
        <v>3</v>
      </c>
    </row>
    <row r="40" spans="2:5" x14ac:dyDescent="0.3">
      <c r="B40" s="17">
        <v>23</v>
      </c>
    </row>
    <row r="41" spans="2:5" x14ac:dyDescent="0.3">
      <c r="B41" s="17">
        <v>29</v>
      </c>
    </row>
    <row r="42" spans="2:5" x14ac:dyDescent="0.3">
      <c r="B42" s="17">
        <v>34</v>
      </c>
      <c r="D42" s="17" t="s">
        <v>21</v>
      </c>
      <c r="E42" s="17" t="s">
        <v>77</v>
      </c>
    </row>
    <row r="43" spans="2:5" x14ac:dyDescent="0.3">
      <c r="B43" s="17">
        <v>56</v>
      </c>
      <c r="D43" s="1" t="s">
        <v>78</v>
      </c>
      <c r="E43" s="1">
        <f>SMALL(B38:B46,E37)</f>
        <v>11</v>
      </c>
    </row>
    <row r="44" spans="2:5" x14ac:dyDescent="0.3">
      <c r="B44" s="17">
        <v>65</v>
      </c>
      <c r="D44" s="1" t="s">
        <v>79</v>
      </c>
      <c r="E44" s="1">
        <f>SMALL(B38:B46,E38)</f>
        <v>12</v>
      </c>
    </row>
    <row r="45" spans="2:5" x14ac:dyDescent="0.3">
      <c r="B45" s="17">
        <v>76</v>
      </c>
      <c r="D45" s="1" t="s">
        <v>80</v>
      </c>
      <c r="E45" s="1">
        <f>SMALL(B38:B46,E39)</f>
        <v>23</v>
      </c>
    </row>
    <row r="46" spans="2:5" x14ac:dyDescent="0.3">
      <c r="B46" s="17">
        <v>98</v>
      </c>
    </row>
  </sheetData>
  <mergeCells count="3">
    <mergeCell ref="B3:E3"/>
    <mergeCell ref="B17:E17"/>
    <mergeCell ref="B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2025-10-22T14:58:30Z</dcterms:created>
  <dcterms:modified xsi:type="dcterms:W3CDTF">2026-05-03T10:47:11Z</dcterms:modified>
</cp:coreProperties>
</file>