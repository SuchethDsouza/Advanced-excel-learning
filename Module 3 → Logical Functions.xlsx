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226EA96F-FA57-4F37-8AB9-F4AFF2C3EEB6}" xr6:coauthVersionLast="41" xr6:coauthVersionMax="41" xr10:uidLastSave="{00000000-0000-0000-0000-000000000000}"/>
  <bookViews>
    <workbookView xWindow="35880" yWindow="2700" windowWidth="17280" windowHeight="8880" xr2:uid="{05E62ED3-0E77-4884-B215-90B41F54C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1" l="1"/>
  <c r="B103" i="1"/>
  <c r="B79" i="1"/>
  <c r="B78" i="1"/>
  <c r="B57" i="1"/>
  <c r="B58" i="1"/>
  <c r="I28" i="1"/>
  <c r="I29" i="1"/>
  <c r="I30" i="1"/>
  <c r="I31" i="1"/>
  <c r="I32" i="1"/>
  <c r="I27" i="1"/>
  <c r="C14" i="1"/>
  <c r="C15" i="1"/>
  <c r="C16" i="1"/>
  <c r="C17" i="1"/>
  <c r="C13" i="1"/>
</calcChain>
</file>

<file path=xl/sharedStrings.xml><?xml version="1.0" encoding="utf-8"?>
<sst xmlns="http://schemas.openxmlformats.org/spreadsheetml/2006/main" count="80" uniqueCount="69">
  <si>
    <t>Logical Function</t>
  </si>
  <si>
    <t>IF Function</t>
  </si>
  <si>
    <t>This function evaluates a certain condition and returns one value.</t>
  </si>
  <si>
    <t>Syntax: IF(logical_test,[value_if_true],[value_if_false])</t>
  </si>
  <si>
    <t>Price</t>
  </si>
  <si>
    <t>High? Yes/No</t>
  </si>
  <si>
    <t xml:space="preserve"> =IF(B13&gt;500,"Yes","No")</t>
  </si>
  <si>
    <t>Ex 1, if price is &gt;500 then Yes else No</t>
  </si>
  <si>
    <t>Ex 2,</t>
  </si>
  <si>
    <t>Percentage</t>
  </si>
  <si>
    <t>Result</t>
  </si>
  <si>
    <t>Pass</t>
  </si>
  <si>
    <t>Fail</t>
  </si>
  <si>
    <t>Roll No</t>
  </si>
  <si>
    <t>Stu Name</t>
  </si>
  <si>
    <t>Physics</t>
  </si>
  <si>
    <t>Chemistry</t>
  </si>
  <si>
    <t>Maths</t>
  </si>
  <si>
    <t>Total</t>
  </si>
  <si>
    <t xml:space="preserve">John </t>
  </si>
  <si>
    <t xml:space="preserve">Smith </t>
  </si>
  <si>
    <t xml:space="preserve">Ravi </t>
  </si>
  <si>
    <t xml:space="preserve">Suresh </t>
  </si>
  <si>
    <t xml:space="preserve">Suman </t>
  </si>
  <si>
    <t xml:space="preserve">Gaurav </t>
  </si>
  <si>
    <t>&lt;50</t>
  </si>
  <si>
    <t>&gt;=50</t>
  </si>
  <si>
    <t xml:space="preserve"> </t>
  </si>
  <si>
    <t>SUMIF</t>
  </si>
  <si>
    <t>This function is uesd to sum the values in a range that meet criteria that you specify</t>
  </si>
  <si>
    <t>Syntax: SUMIF(range, criteria, [sum_range])</t>
  </si>
  <si>
    <t>Optional. The actual cells to add, if you want to add cells other than those specified in the range argument</t>
  </si>
  <si>
    <t>Required. The criteria in the form of a number or expression</t>
  </si>
  <si>
    <t>Required. The range of cells that you want evaluated by criteria</t>
  </si>
  <si>
    <t>range:</t>
  </si>
  <si>
    <t>criteria:</t>
  </si>
  <si>
    <t>sum_range:</t>
  </si>
  <si>
    <t>Formula</t>
  </si>
  <si>
    <t>Sum of the rents for property rent over 25000.</t>
  </si>
  <si>
    <t>Sum of the commissions for property rent over 25000.</t>
  </si>
  <si>
    <t>Property Rent</t>
  </si>
  <si>
    <t>Commission Amount</t>
  </si>
  <si>
    <t>AVERAGEIF Function</t>
  </si>
  <si>
    <t>This function is uesd to calculate average (arithmetic mean) in a range that meet criteria that you specify</t>
  </si>
  <si>
    <t>Syntax: Average(range, criteria, [average_range])</t>
  </si>
  <si>
    <t>Same as SUMIF function</t>
  </si>
  <si>
    <t>Average of the rents for property rent more than 10,000.</t>
  </si>
  <si>
    <t>Average of the commissions for property rent more than 10,000</t>
  </si>
  <si>
    <t xml:space="preserve"> =AVERAGEIF(B69:B72,"&gt;10000")</t>
  </si>
  <si>
    <t xml:space="preserve"> =AVERAGEIF(B69:B72,"&gt;10000",C69:C72)</t>
  </si>
  <si>
    <t>COUNTIF</t>
  </si>
  <si>
    <t>This function is uesd to count the number of cells that meet a criteria</t>
  </si>
  <si>
    <t>Syntax: COUNTIF(range, criteria)</t>
  </si>
  <si>
    <t>range: cells that you count</t>
  </si>
  <si>
    <t>criteria: specific argument</t>
  </si>
  <si>
    <t>Emp Names</t>
  </si>
  <si>
    <t>Performance</t>
  </si>
  <si>
    <t>John</t>
  </si>
  <si>
    <t>Good</t>
  </si>
  <si>
    <t>Smith</t>
  </si>
  <si>
    <t>Sunil</t>
  </si>
  <si>
    <t>Excellent</t>
  </si>
  <si>
    <t>Vishnu</t>
  </si>
  <si>
    <t>Gaurav</t>
  </si>
  <si>
    <t>Poor</t>
  </si>
  <si>
    <t>Smita</t>
  </si>
  <si>
    <t>Mahesh</t>
  </si>
  <si>
    <t xml:space="preserve">Shows the count of Excellent performers. </t>
  </si>
  <si>
    <t>Shows the count of Poor 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</si>
</sst>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4" fontId="0" fillId="0" borderId="1" xfId="0" applyNumberFormat="1" applyBorder="1"/>
    <xf numFmtId="0" fontId="0" fillId="2" borderId="0" xfId="0" applyFill="1" applyBorder="1"/>
    <xf numFmtId="4" fontId="0" fillId="3" borderId="1" xfId="0" applyNumberFormat="1" applyFill="1" applyBorder="1"/>
    <xf numFmtId="4" fontId="0" fillId="4" borderId="1" xfId="0" applyNumberFormat="1" applyFill="1" applyBorder="1"/>
    <xf numFmtId="0" fontId="2" fillId="0" borderId="0" xfId="0" applyFont="1" applyBorder="1"/>
    <xf numFmtId="0" fontId="2" fillId="5" borderId="0" xfId="0" applyFont="1" applyFill="1" applyBorder="1"/>
    <xf numFmtId="2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0E3F-C87E-41BA-9084-448107E37968}">
  <dimension ref="B3:I104"/>
  <sheetViews>
    <sheetView tabSelected="1" topLeftCell="A78" workbookViewId="0">
      <selection activeCell="B108" sqref="B108"/>
    </sheetView>
  </sheetViews>
  <sheetFormatPr defaultRowHeight="14.4" x14ac:dyDescent="0.3"/>
  <cols>
    <col min="2" max="2" width="18.33203125" customWidth="1"/>
    <col min="3" max="3" width="18.44140625" customWidth="1"/>
    <col min="4" max="4" width="15.6640625" customWidth="1"/>
    <col min="5" max="9" width="11.21875" customWidth="1"/>
  </cols>
  <sheetData>
    <row r="3" spans="2:5" ht="15.6" x14ac:dyDescent="0.3">
      <c r="B3" s="12" t="s">
        <v>0</v>
      </c>
      <c r="C3" s="11"/>
    </row>
    <row r="5" spans="2:5" x14ac:dyDescent="0.3">
      <c r="B5" s="2" t="s">
        <v>1</v>
      </c>
    </row>
    <row r="6" spans="2:5" x14ac:dyDescent="0.3">
      <c r="B6" t="s">
        <v>2</v>
      </c>
    </row>
    <row r="8" spans="2:5" x14ac:dyDescent="0.3">
      <c r="B8" s="2" t="s">
        <v>3</v>
      </c>
    </row>
    <row r="10" spans="2:5" x14ac:dyDescent="0.3">
      <c r="B10" t="s">
        <v>7</v>
      </c>
    </row>
    <row r="12" spans="2:5" x14ac:dyDescent="0.3">
      <c r="B12" s="4" t="s">
        <v>4</v>
      </c>
      <c r="C12" s="6" t="s">
        <v>5</v>
      </c>
      <c r="E12" s="6" t="s">
        <v>37</v>
      </c>
    </row>
    <row r="13" spans="2:5" x14ac:dyDescent="0.3">
      <c r="B13" s="3">
        <v>650</v>
      </c>
      <c r="C13" s="1" t="str">
        <f>IF(B13&gt;500,"Yes","No")</f>
        <v>Yes</v>
      </c>
      <c r="E13" t="s">
        <v>6</v>
      </c>
    </row>
    <row r="14" spans="2:5" x14ac:dyDescent="0.3">
      <c r="B14" s="3">
        <v>240</v>
      </c>
      <c r="C14" s="1" t="str">
        <f t="shared" ref="C14:C17" si="0">IF(B14&gt;500,"Yes","No")</f>
        <v>No</v>
      </c>
    </row>
    <row r="15" spans="2:5" x14ac:dyDescent="0.3">
      <c r="B15" s="3">
        <v>300</v>
      </c>
      <c r="C15" s="1" t="str">
        <f t="shared" si="0"/>
        <v>No</v>
      </c>
    </row>
    <row r="16" spans="2:5" x14ac:dyDescent="0.3">
      <c r="B16" s="3">
        <v>900</v>
      </c>
      <c r="C16" s="1" t="str">
        <f t="shared" si="0"/>
        <v>Yes</v>
      </c>
    </row>
    <row r="17" spans="2:9" x14ac:dyDescent="0.3">
      <c r="B17" s="3">
        <v>120</v>
      </c>
      <c r="C17" s="1" t="str">
        <f t="shared" si="0"/>
        <v>No</v>
      </c>
    </row>
    <row r="20" spans="2:9" x14ac:dyDescent="0.3">
      <c r="B20" t="s">
        <v>8</v>
      </c>
    </row>
    <row r="21" spans="2:9" x14ac:dyDescent="0.3">
      <c r="I21" t="s">
        <v>27</v>
      </c>
    </row>
    <row r="22" spans="2:9" x14ac:dyDescent="0.3">
      <c r="B22" s="6" t="s">
        <v>9</v>
      </c>
      <c r="C22" s="6" t="s">
        <v>10</v>
      </c>
    </row>
    <row r="23" spans="2:9" x14ac:dyDescent="0.3">
      <c r="B23" s="1" t="s">
        <v>26</v>
      </c>
      <c r="C23" s="1" t="s">
        <v>11</v>
      </c>
    </row>
    <row r="24" spans="2:9" x14ac:dyDescent="0.3">
      <c r="B24" s="1" t="s">
        <v>25</v>
      </c>
      <c r="C24" s="1" t="s">
        <v>12</v>
      </c>
    </row>
    <row r="26" spans="2:9" x14ac:dyDescent="0.3">
      <c r="B26" s="4" t="s">
        <v>13</v>
      </c>
      <c r="C26" s="4" t="s">
        <v>14</v>
      </c>
      <c r="D26" s="4" t="s">
        <v>15</v>
      </c>
      <c r="E26" s="4" t="s">
        <v>16</v>
      </c>
      <c r="F26" s="4" t="s">
        <v>17</v>
      </c>
      <c r="G26" s="4" t="s">
        <v>18</v>
      </c>
      <c r="H26" s="4" t="s">
        <v>9</v>
      </c>
      <c r="I26" s="4" t="s">
        <v>10</v>
      </c>
    </row>
    <row r="27" spans="2:9" x14ac:dyDescent="0.3">
      <c r="B27" s="3">
        <v>101</v>
      </c>
      <c r="C27" s="1" t="s">
        <v>19</v>
      </c>
      <c r="D27" s="3">
        <v>89</v>
      </c>
      <c r="E27" s="3">
        <v>78</v>
      </c>
      <c r="F27" s="3">
        <v>90</v>
      </c>
      <c r="G27" s="3">
        <v>257</v>
      </c>
      <c r="H27" s="3">
        <v>85.67</v>
      </c>
      <c r="I27" s="3" t="str">
        <f>IF(H27&gt;=50,"Pass","Fail")</f>
        <v>Pass</v>
      </c>
    </row>
    <row r="28" spans="2:9" x14ac:dyDescent="0.3">
      <c r="B28" s="3">
        <v>102</v>
      </c>
      <c r="C28" s="1" t="s">
        <v>20</v>
      </c>
      <c r="D28" s="3">
        <v>44</v>
      </c>
      <c r="E28" s="3">
        <v>67</v>
      </c>
      <c r="F28" s="3">
        <v>76</v>
      </c>
      <c r="G28" s="3">
        <v>187</v>
      </c>
      <c r="H28" s="3">
        <v>62.33</v>
      </c>
      <c r="I28" s="3" t="str">
        <f t="shared" ref="I28:I32" si="1">IF(H28&gt;=50,"Pass","Fail")</f>
        <v>Pass</v>
      </c>
    </row>
    <row r="29" spans="2:9" x14ac:dyDescent="0.3">
      <c r="B29" s="3">
        <v>103</v>
      </c>
      <c r="C29" s="1" t="s">
        <v>21</v>
      </c>
      <c r="D29" s="3">
        <v>78</v>
      </c>
      <c r="E29" s="3">
        <v>45</v>
      </c>
      <c r="F29" s="3">
        <v>53</v>
      </c>
      <c r="G29" s="3">
        <v>176</v>
      </c>
      <c r="H29" s="3">
        <v>58.67</v>
      </c>
      <c r="I29" s="3" t="str">
        <f t="shared" si="1"/>
        <v>Pass</v>
      </c>
    </row>
    <row r="30" spans="2:9" x14ac:dyDescent="0.3">
      <c r="B30" s="3">
        <v>104</v>
      </c>
      <c r="C30" s="1" t="s">
        <v>22</v>
      </c>
      <c r="D30" s="3">
        <v>34</v>
      </c>
      <c r="E30" s="3">
        <v>51</v>
      </c>
      <c r="F30" s="3">
        <v>27</v>
      </c>
      <c r="G30" s="3">
        <v>112</v>
      </c>
      <c r="H30" s="3">
        <v>37.33</v>
      </c>
      <c r="I30" s="3" t="str">
        <f t="shared" si="1"/>
        <v>Fail</v>
      </c>
    </row>
    <row r="31" spans="2:9" x14ac:dyDescent="0.3">
      <c r="B31" s="3">
        <v>105</v>
      </c>
      <c r="C31" s="1" t="s">
        <v>23</v>
      </c>
      <c r="D31" s="3">
        <v>73</v>
      </c>
      <c r="E31" s="3">
        <v>44</v>
      </c>
      <c r="F31" s="3">
        <v>89</v>
      </c>
      <c r="G31" s="3">
        <v>206</v>
      </c>
      <c r="H31" s="3">
        <v>68.67</v>
      </c>
      <c r="I31" s="3" t="str">
        <f t="shared" si="1"/>
        <v>Pass</v>
      </c>
    </row>
    <row r="32" spans="2:9" x14ac:dyDescent="0.3">
      <c r="B32" s="3">
        <v>106</v>
      </c>
      <c r="C32" s="1" t="s">
        <v>24</v>
      </c>
      <c r="D32" s="3">
        <v>19</v>
      </c>
      <c r="E32" s="3">
        <v>45</v>
      </c>
      <c r="F32" s="3">
        <v>72</v>
      </c>
      <c r="G32" s="3">
        <v>136</v>
      </c>
      <c r="H32" s="3">
        <v>45.33</v>
      </c>
      <c r="I32" s="3" t="str">
        <f t="shared" si="1"/>
        <v>Fail</v>
      </c>
    </row>
    <row r="36" spans="2:4" x14ac:dyDescent="0.3">
      <c r="B36" s="2" t="s">
        <v>28</v>
      </c>
    </row>
    <row r="37" spans="2:4" x14ac:dyDescent="0.3">
      <c r="B37" t="s">
        <v>29</v>
      </c>
    </row>
    <row r="39" spans="2:4" x14ac:dyDescent="0.3">
      <c r="B39" s="2" t="s">
        <v>30</v>
      </c>
    </row>
    <row r="41" spans="2:4" x14ac:dyDescent="0.3">
      <c r="C41" t="s">
        <v>34</v>
      </c>
      <c r="D41" t="s">
        <v>33</v>
      </c>
    </row>
    <row r="42" spans="2:4" x14ac:dyDescent="0.3">
      <c r="C42" t="s">
        <v>35</v>
      </c>
      <c r="D42" t="s">
        <v>32</v>
      </c>
    </row>
    <row r="43" spans="2:4" x14ac:dyDescent="0.3">
      <c r="C43" t="s">
        <v>36</v>
      </c>
      <c r="D43" t="s">
        <v>31</v>
      </c>
    </row>
    <row r="46" spans="2:4" x14ac:dyDescent="0.3">
      <c r="B46" s="6" t="s">
        <v>40</v>
      </c>
      <c r="C46" s="6" t="s">
        <v>41</v>
      </c>
    </row>
    <row r="47" spans="2:4" x14ac:dyDescent="0.3">
      <c r="B47" s="7">
        <v>20000</v>
      </c>
      <c r="C47" s="7">
        <v>2000</v>
      </c>
    </row>
    <row r="48" spans="2:4" x14ac:dyDescent="0.3">
      <c r="B48" s="9">
        <v>30000</v>
      </c>
      <c r="C48" s="9">
        <v>3000</v>
      </c>
    </row>
    <row r="49" spans="2:4" x14ac:dyDescent="0.3">
      <c r="B49" s="9">
        <v>50000</v>
      </c>
      <c r="C49" s="9">
        <v>5000</v>
      </c>
    </row>
    <row r="50" spans="2:4" x14ac:dyDescent="0.3">
      <c r="B50" s="7">
        <v>10000</v>
      </c>
      <c r="C50" s="7">
        <v>1000</v>
      </c>
    </row>
    <row r="52" spans="2:4" x14ac:dyDescent="0.3">
      <c r="B52" s="8" t="s">
        <v>38</v>
      </c>
      <c r="C52" s="8"/>
      <c r="D52" s="8"/>
    </row>
    <row r="53" spans="2:4" x14ac:dyDescent="0.3">
      <c r="B53" s="8" t="s">
        <v>39</v>
      </c>
      <c r="C53" s="8"/>
      <c r="D53" s="8"/>
    </row>
    <row r="56" spans="2:4" x14ac:dyDescent="0.3">
      <c r="B56" s="6" t="s">
        <v>10</v>
      </c>
    </row>
    <row r="57" spans="2:4" x14ac:dyDescent="0.3">
      <c r="B57" s="10">
        <f>SUMIF(B47:B50,"&gt;25000")</f>
        <v>80000</v>
      </c>
    </row>
    <row r="58" spans="2:4" x14ac:dyDescent="0.3">
      <c r="B58" s="10">
        <f>SUMIF(B47:B50,"&gt;25000",C47:C50)</f>
        <v>8000</v>
      </c>
    </row>
    <row r="62" spans="2:4" x14ac:dyDescent="0.3">
      <c r="B62" s="2" t="s">
        <v>42</v>
      </c>
    </row>
    <row r="63" spans="2:4" x14ac:dyDescent="0.3">
      <c r="B63" t="s">
        <v>43</v>
      </c>
    </row>
    <row r="65" spans="2:4" x14ac:dyDescent="0.3">
      <c r="B65" s="2" t="s">
        <v>44</v>
      </c>
    </row>
    <row r="66" spans="2:4" x14ac:dyDescent="0.3">
      <c r="C66" t="s">
        <v>45</v>
      </c>
    </row>
    <row r="68" spans="2:4" x14ac:dyDescent="0.3">
      <c r="B68" s="6" t="s">
        <v>40</v>
      </c>
      <c r="C68" s="6" t="s">
        <v>41</v>
      </c>
    </row>
    <row r="69" spans="2:4" x14ac:dyDescent="0.3">
      <c r="B69" s="9">
        <v>20000</v>
      </c>
      <c r="C69" s="9">
        <v>2000</v>
      </c>
    </row>
    <row r="70" spans="2:4" x14ac:dyDescent="0.3">
      <c r="B70" s="9">
        <v>30000</v>
      </c>
      <c r="C70" s="9">
        <v>3000</v>
      </c>
    </row>
    <row r="71" spans="2:4" x14ac:dyDescent="0.3">
      <c r="B71" s="9">
        <v>50000</v>
      </c>
      <c r="C71" s="9">
        <v>5000</v>
      </c>
    </row>
    <row r="72" spans="2:4" x14ac:dyDescent="0.3">
      <c r="B72" s="7">
        <v>10000</v>
      </c>
      <c r="C72" s="7">
        <v>1000</v>
      </c>
    </row>
    <row r="74" spans="2:4" x14ac:dyDescent="0.3">
      <c r="B74" s="5" t="s">
        <v>46</v>
      </c>
      <c r="C74" s="5"/>
      <c r="D74" s="5"/>
    </row>
    <row r="75" spans="2:4" x14ac:dyDescent="0.3">
      <c r="B75" s="5" t="s">
        <v>47</v>
      </c>
      <c r="C75" s="5"/>
      <c r="D75" s="5"/>
    </row>
    <row r="77" spans="2:4" x14ac:dyDescent="0.3">
      <c r="B77" s="6" t="s">
        <v>10</v>
      </c>
    </row>
    <row r="78" spans="2:4" x14ac:dyDescent="0.3">
      <c r="B78" s="7">
        <f>AVERAGEIF(B69:B72,"&gt;10000")</f>
        <v>33333.333333333336</v>
      </c>
      <c r="C78" t="s">
        <v>48</v>
      </c>
    </row>
    <row r="79" spans="2:4" x14ac:dyDescent="0.3">
      <c r="B79" s="13">
        <f>AVERAGEIF(B69:B72,"&gt;10000",C69:C72)</f>
        <v>3333.3333333333335</v>
      </c>
      <c r="C79" t="s">
        <v>49</v>
      </c>
    </row>
    <row r="83" spans="2:3" x14ac:dyDescent="0.3">
      <c r="B83" s="2" t="s">
        <v>50</v>
      </c>
    </row>
    <row r="84" spans="2:3" x14ac:dyDescent="0.3">
      <c r="B84" t="s">
        <v>51</v>
      </c>
    </row>
    <row r="86" spans="2:3" x14ac:dyDescent="0.3">
      <c r="B86" s="2" t="s">
        <v>52</v>
      </c>
    </row>
    <row r="87" spans="2:3" x14ac:dyDescent="0.3">
      <c r="C87" t="s">
        <v>53</v>
      </c>
    </row>
    <row r="88" spans="2:3" x14ac:dyDescent="0.3">
      <c r="C88" t="s">
        <v>54</v>
      </c>
    </row>
    <row r="90" spans="2:3" x14ac:dyDescent="0.3">
      <c r="B90" s="4" t="s">
        <v>55</v>
      </c>
      <c r="C90" s="4" t="s">
        <v>56</v>
      </c>
    </row>
    <row r="91" spans="2:3" x14ac:dyDescent="0.3">
      <c r="B91" s="3" t="s">
        <v>57</v>
      </c>
      <c r="C91" s="3" t="s">
        <v>58</v>
      </c>
    </row>
    <row r="92" spans="2:3" x14ac:dyDescent="0.3">
      <c r="B92" s="3" t="s">
        <v>59</v>
      </c>
      <c r="C92" s="3" t="s">
        <v>58</v>
      </c>
    </row>
    <row r="93" spans="2:3" x14ac:dyDescent="0.3">
      <c r="B93" s="3" t="s">
        <v>60</v>
      </c>
      <c r="C93" s="14" t="s">
        <v>61</v>
      </c>
    </row>
    <row r="94" spans="2:3" x14ac:dyDescent="0.3">
      <c r="B94" s="3" t="s">
        <v>62</v>
      </c>
      <c r="C94" s="3" t="s">
        <v>58</v>
      </c>
    </row>
    <row r="95" spans="2:3" x14ac:dyDescent="0.3">
      <c r="B95" s="3" t="s">
        <v>63</v>
      </c>
      <c r="C95" s="15" t="s">
        <v>64</v>
      </c>
    </row>
    <row r="96" spans="2:3" x14ac:dyDescent="0.3">
      <c r="B96" s="3" t="s">
        <v>65</v>
      </c>
      <c r="C96" s="14" t="s">
        <v>61</v>
      </c>
    </row>
    <row r="97" spans="2:3" x14ac:dyDescent="0.3">
      <c r="B97" s="3" t="s">
        <v>66</v>
      </c>
      <c r="C97" s="14" t="s">
        <v>61</v>
      </c>
    </row>
    <row r="99" spans="2:3" x14ac:dyDescent="0.3">
      <c r="B99" s="5" t="s">
        <v>67</v>
      </c>
      <c r="C99" s="5"/>
    </row>
    <row r="100" spans="2:3" x14ac:dyDescent="0.3">
      <c r="B100" s="5" t="s">
        <v>68</v>
      </c>
      <c r="C100" s="5"/>
    </row>
    <row r="102" spans="2:3" x14ac:dyDescent="0.3">
      <c r="B102" s="4" t="s">
        <v>10</v>
      </c>
    </row>
    <row r="103" spans="2:3" x14ac:dyDescent="0.3">
      <c r="B103" s="3">
        <f>COUNTIF(C91:C97,"Excellent")</f>
        <v>3</v>
      </c>
    </row>
    <row r="104" spans="2:3" x14ac:dyDescent="0.3">
      <c r="B104" s="3">
        <f>COUNTIF(C91:C97,"Poor")</f>
        <v>1</v>
      </c>
    </row>
  </sheetData>
  <conditionalFormatting sqref="C13:C17">
    <cfRule type="containsText" dxfId="3" priority="3" operator="containsText" text="No">
      <formula>NOT(ISERROR(SEARCH("No",C13)))</formula>
    </cfRule>
    <cfRule type="containsText" dxfId="2" priority="4" operator="containsText" text="Yes">
      <formula>NOT(ISERROR(SEARCH("Yes",C13)))</formula>
    </cfRule>
  </conditionalFormatting>
  <conditionalFormatting sqref="I27:I32">
    <cfRule type="containsText" dxfId="1" priority="1" operator="containsText" text="Fail">
      <formula>NOT(ISERROR(SEARCH("Fail",I27)))</formula>
    </cfRule>
    <cfRule type="containsText" dxfId="0" priority="2" operator="containsText" text="Pass">
      <formula>NOT(ISERROR(SEARCH("Pass",I27)))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2025-10-25T13:59:52Z</dcterms:created>
  <dcterms:modified xsi:type="dcterms:W3CDTF">2025-10-25T15:48:33Z</dcterms:modified>
</cp:coreProperties>
</file>