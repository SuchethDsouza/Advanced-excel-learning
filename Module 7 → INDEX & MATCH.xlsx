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9EE8F07D-2CAB-4DDE-9C45-FCFD5C33C044}" xr6:coauthVersionLast="41" xr6:coauthVersionMax="41" xr10:uidLastSave="{00000000-0000-0000-0000-000000000000}"/>
  <bookViews>
    <workbookView xWindow="-108" yWindow="-108" windowWidth="23256" windowHeight="12456" xr2:uid="{057706C3-66B1-4BFE-B2AA-D6EDC5376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39" i="1"/>
  <c r="G38" i="1"/>
  <c r="G37" i="1"/>
  <c r="G36" i="1"/>
  <c r="G24" i="1"/>
  <c r="G23" i="1"/>
  <c r="G22" i="1"/>
</calcChain>
</file>

<file path=xl/sharedStrings.xml><?xml version="1.0" encoding="utf-8"?>
<sst xmlns="http://schemas.openxmlformats.org/spreadsheetml/2006/main" count="58" uniqueCount="51">
  <si>
    <t xml:space="preserve">Match and index function </t>
  </si>
  <si>
    <t>You can use the match function to find the row number where your lookup value is located .</t>
  </si>
  <si>
    <t>Whereas you can use the index function to retrieve the value from a specific row and column you need .</t>
  </si>
  <si>
    <t>MATCH Function</t>
  </si>
  <si>
    <t>This function locates a specific value within a given range and identifies its exact position within that range.</t>
  </si>
  <si>
    <t xml:space="preserve">Syntax: </t>
  </si>
  <si>
    <t>Match(lookup_value, Lookup_array, [Match type])</t>
  </si>
  <si>
    <t>Look up value : Required. The value that you want to match.</t>
  </si>
  <si>
    <t>Look up array: Required. The range of cells being searched.</t>
  </si>
  <si>
    <t>Match type: Optional. -1, 0 or 1 specifies how Excel matches lookup_value with values in lookup_array.</t>
  </si>
  <si>
    <t xml:space="preserve">Match type </t>
  </si>
  <si>
    <t xml:space="preserve">1 or Omitted </t>
  </si>
  <si>
    <r>
      <t xml:space="preserve">It finds the largest value that is less than or equal to </t>
    </r>
    <r>
      <rPr>
        <b/>
        <sz val="11"/>
        <color theme="1"/>
        <rFont val="Calibri"/>
        <family val="2"/>
        <scheme val="minor"/>
      </rPr>
      <t xml:space="preserve">lookup_value. </t>
    </r>
    <r>
      <rPr>
        <sz val="11"/>
        <color theme="1"/>
        <rFont val="Calibri"/>
        <family val="2"/>
        <scheme val="minor"/>
      </rPr>
      <t xml:space="preserve">The values in the </t>
    </r>
    <r>
      <rPr>
        <b/>
        <sz val="11"/>
        <color theme="1"/>
        <rFont val="Calibri"/>
        <family val="2"/>
        <scheme val="minor"/>
      </rPr>
      <t>lookup_array</t>
    </r>
    <r>
      <rPr>
        <sz val="11"/>
        <color theme="1"/>
        <rFont val="Calibri"/>
        <family val="2"/>
        <scheme val="minor"/>
      </rPr>
      <t xml:space="preserve"> argument must be placed in ascending order. </t>
    </r>
  </si>
  <si>
    <t>It finds the first value that is exactly equal to lookup value. The values in the lookup array argument can be in any order .</t>
  </si>
  <si>
    <t>It finds the smallest value that is greater than or equal to lookup value. The values in the lookup array argument must be placed in descending order.</t>
  </si>
  <si>
    <t>Product</t>
  </si>
  <si>
    <t>Sugar</t>
  </si>
  <si>
    <t>Salt</t>
  </si>
  <si>
    <t>Oil</t>
  </si>
  <si>
    <t>Detergent</t>
  </si>
  <si>
    <t>Count</t>
  </si>
  <si>
    <t xml:space="preserve">Description </t>
  </si>
  <si>
    <t xml:space="preserve">The position of the value 38 in the range </t>
  </si>
  <si>
    <t xml:space="preserve">The position of the value of 40 one in the range </t>
  </si>
  <si>
    <t xml:space="preserve">The position of the value 40 in the range </t>
  </si>
  <si>
    <t xml:space="preserve">Returns an error because the values in the range are not in descending order </t>
  </si>
  <si>
    <t>Result</t>
  </si>
  <si>
    <t xml:space="preserve"> =MATCH(38, B21:C24, 1)</t>
  </si>
  <si>
    <t xml:space="preserve"> =MATCH(41, B21:C24, 0)</t>
  </si>
  <si>
    <t xml:space="preserve"> =MATCH(40,B21:C24,0)</t>
  </si>
  <si>
    <t xml:space="preserve"> =MATCH(41,B21:C24,-1)</t>
  </si>
  <si>
    <t xml:space="preserve">INDEX Function </t>
  </si>
  <si>
    <t>It returns the value of an element in a table of an array, selected by the row and column number (intersection) indexes.</t>
  </si>
  <si>
    <t>Syntax: INDEX(array, row_num, [column_num])</t>
  </si>
  <si>
    <t>array</t>
  </si>
  <si>
    <t>row_num</t>
  </si>
  <si>
    <t>column_num</t>
  </si>
  <si>
    <t>Required , A range of cells of an array of values .</t>
  </si>
  <si>
    <t>Required , Selects the row in array from which to return value.</t>
  </si>
  <si>
    <t xml:space="preserve">Optional,  Selects the column in array from which to return a vlaue. </t>
  </si>
  <si>
    <t xml:space="preserve">Value at the intersection of the second row and first column </t>
  </si>
  <si>
    <t xml:space="preserve">Value at the intersection of the 4th row and second column  </t>
  </si>
  <si>
    <t xml:space="preserve">Row and column value error </t>
  </si>
  <si>
    <t xml:space="preserve">Row or column reference error  </t>
  </si>
  <si>
    <t xml:space="preserve">Result </t>
  </si>
  <si>
    <t xml:space="preserve"> =INDEX(B36:C39,2,1)</t>
  </si>
  <si>
    <t xml:space="preserve"> =INDEX(B36:C39,4,2)</t>
  </si>
  <si>
    <r>
      <t xml:space="preserve"> =INDEX(B36:C39,</t>
    </r>
    <r>
      <rPr>
        <b/>
        <sz val="11"/>
        <color theme="1"/>
        <rFont val="Calibri"/>
        <family val="2"/>
        <scheme val="minor"/>
      </rPr>
      <t>0,0</t>
    </r>
    <r>
      <rPr>
        <sz val="11"/>
        <color theme="1"/>
        <rFont val="Calibri"/>
        <family val="2"/>
        <scheme val="minor"/>
      </rPr>
      <t>)</t>
    </r>
  </si>
  <si>
    <t>0 = nothing</t>
  </si>
  <si>
    <t xml:space="preserve"> =INDEX(B36:C39,1,3)</t>
  </si>
  <si>
    <t>3rd column not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</si>
</sst>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10" xfId="0" applyBorder="1"/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0" fillId="4" borderId="15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4" borderId="14" xfId="0" applyFont="1" applyFill="1" applyBorder="1"/>
    <xf numFmtId="0" fontId="0" fillId="0" borderId="14" xfId="0" applyFont="1" applyBorder="1"/>
    <xf numFmtId="0" fontId="0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C4EA-8A63-4C94-9FC3-7A6D89481817}">
  <dimension ref="B2:J39"/>
  <sheetViews>
    <sheetView tabSelected="1" topLeftCell="A34" zoomScale="115" zoomScaleNormal="115" workbookViewId="0">
      <selection activeCell="D43" sqref="D43"/>
    </sheetView>
  </sheetViews>
  <sheetFormatPr defaultRowHeight="14.4" x14ac:dyDescent="0.3"/>
  <cols>
    <col min="2" max="2" width="13.33203125" customWidth="1"/>
    <col min="3" max="3" width="11.6640625" customWidth="1"/>
    <col min="6" max="6" width="64.44140625" customWidth="1"/>
    <col min="7" max="7" width="11.77734375" customWidth="1"/>
    <col min="9" max="9" width="10.21875" customWidth="1"/>
  </cols>
  <sheetData>
    <row r="2" spans="2:10" x14ac:dyDescent="0.3">
      <c r="B2" s="1" t="s">
        <v>0</v>
      </c>
      <c r="C2" s="1"/>
      <c r="D2" s="1"/>
    </row>
    <row r="4" spans="2:10" x14ac:dyDescent="0.3">
      <c r="B4" t="s">
        <v>1</v>
      </c>
    </row>
    <row r="5" spans="2:10" x14ac:dyDescent="0.3">
      <c r="B5" t="s">
        <v>2</v>
      </c>
    </row>
    <row r="7" spans="2:10" x14ac:dyDescent="0.3">
      <c r="B7" s="2" t="s">
        <v>3</v>
      </c>
    </row>
    <row r="8" spans="2:10" x14ac:dyDescent="0.3">
      <c r="B8" t="s">
        <v>4</v>
      </c>
    </row>
    <row r="10" spans="2:10" x14ac:dyDescent="0.3">
      <c r="B10" t="s">
        <v>5</v>
      </c>
      <c r="C10" t="s">
        <v>6</v>
      </c>
    </row>
    <row r="11" spans="2:10" x14ac:dyDescent="0.3">
      <c r="C11" t="s">
        <v>7</v>
      </c>
    </row>
    <row r="12" spans="2:10" x14ac:dyDescent="0.3">
      <c r="C12" t="s">
        <v>8</v>
      </c>
    </row>
    <row r="13" spans="2:10" x14ac:dyDescent="0.3">
      <c r="C13" t="s">
        <v>9</v>
      </c>
    </row>
    <row r="15" spans="2:10" x14ac:dyDescent="0.3">
      <c r="B15" s="11" t="s">
        <v>10</v>
      </c>
      <c r="C15" s="14"/>
      <c r="D15" s="14"/>
      <c r="E15" s="14"/>
      <c r="F15" s="14"/>
      <c r="G15" s="14"/>
      <c r="H15" s="14"/>
      <c r="I15" s="14"/>
      <c r="J15" s="15"/>
    </row>
    <row r="16" spans="2:10" x14ac:dyDescent="0.3">
      <c r="B16" s="11" t="s">
        <v>11</v>
      </c>
      <c r="C16" s="13" t="s">
        <v>12</v>
      </c>
      <c r="D16" s="13"/>
      <c r="E16" s="13"/>
      <c r="F16" s="13"/>
      <c r="G16" s="13"/>
      <c r="H16" s="13"/>
      <c r="I16" s="13"/>
      <c r="J16" s="16"/>
    </row>
    <row r="17" spans="2:10" x14ac:dyDescent="0.3">
      <c r="B17" s="11">
        <v>0</v>
      </c>
      <c r="C17" s="13" t="s">
        <v>13</v>
      </c>
      <c r="D17" s="13"/>
      <c r="E17" s="13"/>
      <c r="F17" s="13"/>
      <c r="G17" s="13"/>
      <c r="H17" s="13"/>
      <c r="I17" s="13"/>
      <c r="J17" s="16"/>
    </row>
    <row r="18" spans="2:10" x14ac:dyDescent="0.3">
      <c r="B18" s="11">
        <v>-1</v>
      </c>
      <c r="C18" s="17" t="s">
        <v>14</v>
      </c>
      <c r="D18" s="17"/>
      <c r="E18" s="17"/>
      <c r="F18" s="17"/>
      <c r="G18" s="17"/>
      <c r="H18" s="17"/>
      <c r="I18" s="17"/>
      <c r="J18" s="18"/>
    </row>
    <row r="20" spans="2:10" x14ac:dyDescent="0.3">
      <c r="B20" s="5" t="s">
        <v>15</v>
      </c>
      <c r="C20" s="6" t="s">
        <v>20</v>
      </c>
      <c r="F20" s="12" t="s">
        <v>21</v>
      </c>
      <c r="G20" s="12" t="s">
        <v>26</v>
      </c>
    </row>
    <row r="21" spans="2:10" x14ac:dyDescent="0.3">
      <c r="B21" s="7" t="s">
        <v>16</v>
      </c>
      <c r="C21" s="8">
        <v>25</v>
      </c>
      <c r="F21" s="19" t="s">
        <v>22</v>
      </c>
      <c r="G21" s="12" t="e">
        <f>MATCH(38,B21:C24, 1)</f>
        <v>#N/A</v>
      </c>
      <c r="H21" t="s">
        <v>27</v>
      </c>
    </row>
    <row r="22" spans="2:10" x14ac:dyDescent="0.3">
      <c r="B22" s="9" t="s">
        <v>17</v>
      </c>
      <c r="C22" s="10">
        <v>38</v>
      </c>
      <c r="F22" s="19" t="s">
        <v>23</v>
      </c>
      <c r="G22" s="12" t="e">
        <f>MATCH(41, B21:C24, 0)</f>
        <v>#N/A</v>
      </c>
      <c r="H22" t="s">
        <v>28</v>
      </c>
    </row>
    <row r="23" spans="2:10" x14ac:dyDescent="0.3">
      <c r="B23" s="7" t="s">
        <v>18</v>
      </c>
      <c r="C23" s="8">
        <v>40</v>
      </c>
      <c r="F23" s="19" t="s">
        <v>24</v>
      </c>
      <c r="G23" s="12" t="e">
        <f>MATCH(40,B21:C24,0)</f>
        <v>#N/A</v>
      </c>
      <c r="H23" t="s">
        <v>29</v>
      </c>
    </row>
    <row r="24" spans="2:10" x14ac:dyDescent="0.3">
      <c r="B24" s="3" t="s">
        <v>19</v>
      </c>
      <c r="C24" s="4">
        <v>41</v>
      </c>
      <c r="F24" s="20" t="s">
        <v>25</v>
      </c>
      <c r="G24" s="12" t="e">
        <f>MATCH(41,B21:C24,-1)</f>
        <v>#N/A</v>
      </c>
      <c r="H24" t="s">
        <v>30</v>
      </c>
    </row>
    <row r="27" spans="2:10" x14ac:dyDescent="0.3">
      <c r="B27" s="2" t="s">
        <v>31</v>
      </c>
    </row>
    <row r="28" spans="2:10" x14ac:dyDescent="0.3">
      <c r="B28" t="s">
        <v>32</v>
      </c>
    </row>
    <row r="30" spans="2:10" x14ac:dyDescent="0.3">
      <c r="B30" s="2" t="s">
        <v>33</v>
      </c>
    </row>
    <row r="31" spans="2:10" x14ac:dyDescent="0.3">
      <c r="C31" s="2" t="s">
        <v>34</v>
      </c>
      <c r="D31" t="s">
        <v>37</v>
      </c>
    </row>
    <row r="32" spans="2:10" x14ac:dyDescent="0.3">
      <c r="C32" s="2" t="s">
        <v>35</v>
      </c>
      <c r="D32" t="s">
        <v>38</v>
      </c>
    </row>
    <row r="33" spans="2:10" x14ac:dyDescent="0.3">
      <c r="C33" s="2" t="s">
        <v>36</v>
      </c>
      <c r="D33" t="s">
        <v>39</v>
      </c>
    </row>
    <row r="35" spans="2:10" x14ac:dyDescent="0.3">
      <c r="B35" s="23" t="s">
        <v>15</v>
      </c>
      <c r="C35" s="24" t="s">
        <v>20</v>
      </c>
      <c r="F35" s="23" t="s">
        <v>21</v>
      </c>
      <c r="G35" s="24" t="s">
        <v>44</v>
      </c>
    </row>
    <row r="36" spans="2:10" x14ac:dyDescent="0.3">
      <c r="B36" s="25" t="s">
        <v>16</v>
      </c>
      <c r="C36" s="26">
        <v>25</v>
      </c>
      <c r="F36" s="29" t="s">
        <v>40</v>
      </c>
      <c r="G36" s="26" t="str">
        <f>INDEX(B36:C39,2,1)</f>
        <v>Salt</v>
      </c>
      <c r="H36" t="s">
        <v>45</v>
      </c>
    </row>
    <row r="37" spans="2:10" x14ac:dyDescent="0.3">
      <c r="B37" s="27" t="s">
        <v>17</v>
      </c>
      <c r="C37" s="28">
        <v>28</v>
      </c>
      <c r="F37" s="30" t="s">
        <v>41</v>
      </c>
      <c r="G37" s="28">
        <f>INDEX(B36:C39,4,2)</f>
        <v>41</v>
      </c>
      <c r="H37" t="s">
        <v>46</v>
      </c>
    </row>
    <row r="38" spans="2:10" x14ac:dyDescent="0.3">
      <c r="B38" s="25" t="s">
        <v>18</v>
      </c>
      <c r="C38" s="26">
        <v>40</v>
      </c>
      <c r="F38" s="29" t="s">
        <v>42</v>
      </c>
      <c r="G38" s="26" t="e">
        <f>INDEX(B36:C39,0,0)</f>
        <v>#VALUE!</v>
      </c>
      <c r="H38" t="s">
        <v>47</v>
      </c>
      <c r="J38" t="s">
        <v>48</v>
      </c>
    </row>
    <row r="39" spans="2:10" x14ac:dyDescent="0.3">
      <c r="B39" s="22" t="s">
        <v>19</v>
      </c>
      <c r="C39" s="21">
        <v>41</v>
      </c>
      <c r="F39" s="31" t="s">
        <v>43</v>
      </c>
      <c r="G39" s="21" t="e">
        <f>INDEX(B36:C39,1,3)</f>
        <v>#REF!</v>
      </c>
      <c r="H39" t="s">
        <v>49</v>
      </c>
      <c r="J39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2026-04-22T17:29:59Z</dcterms:created>
  <dcterms:modified xsi:type="dcterms:W3CDTF">2026-05-02T09:35:30Z</dcterms:modified>
</cp:coreProperties>
</file>