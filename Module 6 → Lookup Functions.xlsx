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<sst xmlns="http://schemas.openxmlformats.org/spreadsheetml/2006/main" count="211" uniqueCount="156">
  <si>
    <t>Lookup Functions</t>
  </si>
  <si>
    <t>Lookup functon in Excel allow you to quickly locate a perticuler value within a column or row and</t>
  </si>
  <si>
    <t>extract related information as per your need.</t>
  </si>
  <si>
    <t>These function are perticularly useful when working with large datasets or multiple worksheets within a workbook.</t>
  </si>
  <si>
    <t>Some function and features are:</t>
  </si>
  <si>
    <t>Find and Replace</t>
  </si>
  <si>
    <t>LOOKUP</t>
  </si>
  <si>
    <t>VLOOKUP</t>
  </si>
  <si>
    <t>HLOOKUP</t>
  </si>
  <si>
    <t>XLOOKUP</t>
  </si>
  <si>
    <t xml:space="preserve">You can search any text in your workbook using the Find feature Which also allows you to modify the text using the replace feature </t>
  </si>
  <si>
    <t xml:space="preserve">This means this feature will help you locate any text in your workbook and also replace the text with some other text if needed </t>
  </si>
  <si>
    <t xml:space="preserve">Find </t>
  </si>
  <si>
    <t xml:space="preserve">Control + F </t>
  </si>
  <si>
    <t xml:space="preserve">Replace </t>
  </si>
  <si>
    <t xml:space="preserve">Control + H </t>
  </si>
  <si>
    <t xml:space="preserve">Employee ID </t>
  </si>
  <si>
    <t xml:space="preserve">Employee name </t>
  </si>
  <si>
    <t xml:space="preserve">Department </t>
  </si>
  <si>
    <t xml:space="preserve">Salary </t>
  </si>
  <si>
    <t xml:space="preserve">Month of joining </t>
  </si>
  <si>
    <t>Brian</t>
  </si>
  <si>
    <t>HR</t>
  </si>
  <si>
    <t xml:space="preserve">January </t>
  </si>
  <si>
    <t xml:space="preserve">Monica </t>
  </si>
  <si>
    <t xml:space="preserve">IT </t>
  </si>
  <si>
    <t xml:space="preserve">February </t>
  </si>
  <si>
    <t xml:space="preserve">Johnny </t>
  </si>
  <si>
    <t xml:space="preserve">Sales </t>
  </si>
  <si>
    <t>March</t>
  </si>
  <si>
    <t xml:space="preserve">Joseph </t>
  </si>
  <si>
    <t xml:space="preserve">Marketing </t>
  </si>
  <si>
    <t>April</t>
  </si>
  <si>
    <t>John</t>
  </si>
  <si>
    <t xml:space="preserve">sales </t>
  </si>
  <si>
    <t>May</t>
  </si>
  <si>
    <t xml:space="preserve">Manoj </t>
  </si>
  <si>
    <t xml:space="preserve">Finance </t>
  </si>
  <si>
    <t>June</t>
  </si>
  <si>
    <t xml:space="preserve">Ravi </t>
  </si>
  <si>
    <t>July</t>
  </si>
  <si>
    <t xml:space="preserve">Mahesh </t>
  </si>
  <si>
    <t>August</t>
  </si>
  <si>
    <t xml:space="preserve">Sunil </t>
  </si>
  <si>
    <t>September</t>
  </si>
  <si>
    <t xml:space="preserve">Neeraj </t>
  </si>
  <si>
    <t>October</t>
  </si>
  <si>
    <t xml:space="preserve">Let's cheque whether John is available in the list </t>
  </si>
  <si>
    <t xml:space="preserve">Let's replace all human resource with HR </t>
  </si>
  <si>
    <t>Wildcard characters</t>
  </si>
  <si>
    <t xml:space="preserve">* Represents any number of characters </t>
  </si>
  <si>
    <t xml:space="preserve">? Represents the specified number of characters </t>
  </si>
  <si>
    <t>Joh?</t>
  </si>
  <si>
    <t>Joh*</t>
  </si>
  <si>
    <t>j*</t>
  </si>
  <si>
    <t xml:space="preserve">This function searches a value in one column or row and returns a matching value from the same position in another column or row </t>
  </si>
  <si>
    <t>Syntax :</t>
  </si>
  <si>
    <t>Lookup(Look up value, Look up vector, [result vector] )</t>
  </si>
  <si>
    <t xml:space="preserve">Look up value :Required a value that look up searches for </t>
  </si>
  <si>
    <t xml:space="preserve">Look up vector :Required A range that contains only one row or one column </t>
  </si>
  <si>
    <t>Result vector :Optional . A range that contains only one row or column .</t>
  </si>
  <si>
    <t xml:space="preserve">Relative cell address :When there is a cell change results also gets changed </t>
  </si>
  <si>
    <t xml:space="preserve">Loan amount </t>
  </si>
  <si>
    <t>ROI</t>
  </si>
  <si>
    <t xml:space="preserve">instalment </t>
  </si>
  <si>
    <t xml:space="preserve"> =C13*D13</t>
  </si>
  <si>
    <t xml:space="preserve"> =C14*D14</t>
  </si>
  <si>
    <t xml:space="preserve">Absolute cell address [F4]: The value does not change when there is a absolute situation </t>
  </si>
  <si>
    <t xml:space="preserve"> =C22*$D$22 </t>
  </si>
  <si>
    <t>Press F4 to insert $ (Absolute) inside a cell</t>
  </si>
  <si>
    <t xml:space="preserve">Formula : </t>
  </si>
  <si>
    <t xml:space="preserve"> =LOOKUP(F33,B33:B37,C33:C37)</t>
  </si>
  <si>
    <t xml:space="preserve">Relative cell addressing </t>
  </si>
  <si>
    <t xml:space="preserve"> =LOOKUP(F33,$B$33:$B$37,$C$33:$C$37)</t>
  </si>
  <si>
    <t xml:space="preserve">Absolute cell Addressing </t>
  </si>
  <si>
    <t xml:space="preserve">Percentage </t>
  </si>
  <si>
    <t xml:space="preserve">Grade </t>
  </si>
  <si>
    <t xml:space="preserve">Name </t>
  </si>
  <si>
    <t>F</t>
  </si>
  <si>
    <t xml:space="preserve">Sumit </t>
  </si>
  <si>
    <t>D</t>
  </si>
  <si>
    <t>Gary</t>
  </si>
  <si>
    <t>C</t>
  </si>
  <si>
    <t>Suman</t>
  </si>
  <si>
    <t>B</t>
  </si>
  <si>
    <t>Kavita</t>
  </si>
  <si>
    <t>A</t>
  </si>
  <si>
    <t>Saurabh</t>
  </si>
  <si>
    <t>Himanshu</t>
  </si>
  <si>
    <t>Tom</t>
  </si>
  <si>
    <t>VLOOKUP and HLOOKUP</t>
  </si>
  <si>
    <t>[Vertical lookup ]</t>
  </si>
  <si>
    <r>
      <rPr>
        <sz val="11"/>
        <color theme="1"/>
        <rFont val="Calibri"/>
        <charset val="134"/>
        <scheme val="minor"/>
      </rPr>
      <t xml:space="preserve">This function is used to retrieve information from a table using a lookup value </t>
    </r>
    <r>
      <rPr>
        <b/>
        <sz val="11"/>
        <color theme="1"/>
        <rFont val="Calibri"/>
        <charset val="134"/>
        <scheme val="minor"/>
      </rPr>
      <t>by column</t>
    </r>
  </si>
  <si>
    <r>
      <rPr>
        <sz val="11"/>
        <color theme="1"/>
        <rFont val="Calibri"/>
        <charset val="134"/>
        <scheme val="minor"/>
      </rPr>
      <t xml:space="preserve">The lookup value must appear in the </t>
    </r>
    <r>
      <rPr>
        <b/>
        <sz val="11"/>
        <color theme="1"/>
        <rFont val="Calibri"/>
        <charset val="134"/>
        <scheme val="minor"/>
      </rPr>
      <t>first column</t>
    </r>
    <r>
      <rPr>
        <sz val="11"/>
        <color theme="1"/>
        <rFont val="Calibri"/>
        <charset val="134"/>
        <scheme val="minor"/>
      </rPr>
      <t xml:space="preserve"> of the table and the information to retrieve is specified by column number.</t>
    </r>
  </si>
  <si>
    <t>Synatx:</t>
  </si>
  <si>
    <t xml:space="preserve"> =VLOOKUP(what, where, column_number, [match_type])</t>
  </si>
  <si>
    <t xml:space="preserve">Required </t>
  </si>
  <si>
    <t xml:space="preserve">What are you looking for </t>
  </si>
  <si>
    <t>Where are you looking for (the whole data set )?</t>
  </si>
  <si>
    <t xml:space="preserve">The column number in the range containing the value to return </t>
  </si>
  <si>
    <t xml:space="preserve">Optional </t>
  </si>
  <si>
    <r>
      <rPr>
        <sz val="11"/>
        <color theme="1"/>
        <rFont val="Calibri"/>
        <charset val="134"/>
        <scheme val="minor"/>
      </rPr>
      <t xml:space="preserve">Match_type </t>
    </r>
    <r>
      <rPr>
        <u/>
        <sz val="11"/>
        <color theme="1"/>
        <rFont val="Calibri"/>
        <charset val="134"/>
        <scheme val="minor"/>
      </rPr>
      <t>false</t>
    </r>
    <r>
      <rPr>
        <sz val="11"/>
        <color theme="1"/>
        <rFont val="Calibri"/>
        <charset val="134"/>
        <scheme val="minor"/>
      </rPr>
      <t xml:space="preserve"> for </t>
    </r>
    <r>
      <rPr>
        <b/>
        <sz val="11"/>
        <color theme="1"/>
        <rFont val="Calibri"/>
        <charset val="134"/>
        <scheme val="minor"/>
      </rPr>
      <t>exact match</t>
    </r>
    <r>
      <rPr>
        <sz val="11"/>
        <color theme="1"/>
        <rFont val="Calibri"/>
        <charset val="134"/>
        <scheme val="minor"/>
      </rPr>
      <t xml:space="preserve">, </t>
    </r>
    <r>
      <rPr>
        <u/>
        <sz val="11"/>
        <color theme="1"/>
        <rFont val="Calibri"/>
        <charset val="134"/>
        <scheme val="minor"/>
      </rPr>
      <t>true</t>
    </r>
    <r>
      <rPr>
        <sz val="11"/>
        <color theme="1"/>
        <rFont val="Calibri"/>
        <charset val="134"/>
        <scheme val="minor"/>
      </rPr>
      <t xml:space="preserve"> for </t>
    </r>
    <r>
      <rPr>
        <b/>
        <sz val="11"/>
        <color theme="1"/>
        <rFont val="Calibri"/>
        <charset val="134"/>
        <scheme val="minor"/>
      </rPr>
      <t>approximate match</t>
    </r>
    <r>
      <rPr>
        <sz val="11"/>
        <color theme="1"/>
        <rFont val="Calibri"/>
        <charset val="134"/>
        <scheme val="minor"/>
      </rPr>
      <t xml:space="preserve"> </t>
    </r>
  </si>
  <si>
    <t xml:space="preserve"> =VLOOKUP(G17,B16:E21,3,FALSE)</t>
  </si>
  <si>
    <t xml:space="preserve"> =VLOOKUP(J21,$B$20:$E$25,3,)</t>
  </si>
  <si>
    <t xml:space="preserve">Absolute cell addressing </t>
  </si>
  <si>
    <t xml:space="preserve">Example </t>
  </si>
  <si>
    <t xml:space="preserve">Employee id </t>
  </si>
  <si>
    <t xml:space="preserve">Suresh </t>
  </si>
  <si>
    <t>Jim</t>
  </si>
  <si>
    <t>Sales</t>
  </si>
  <si>
    <t>katie</t>
  </si>
  <si>
    <t>Marketing</t>
  </si>
  <si>
    <t>Pawan</t>
  </si>
  <si>
    <t>IT</t>
  </si>
  <si>
    <t>HLOOKUP FUNCTOIN</t>
  </si>
  <si>
    <t>[Horizontal look up]</t>
  </si>
  <si>
    <r>
      <rPr>
        <sz val="11"/>
        <color theme="1"/>
        <rFont val="Calibri"/>
        <charset val="134"/>
        <scheme val="minor"/>
      </rPr>
      <t xml:space="preserve">Similar to Vlookup, this function is used to retrieve information from a table using lookup value </t>
    </r>
    <r>
      <rPr>
        <b/>
        <sz val="11"/>
        <color theme="1"/>
        <rFont val="Calibri"/>
        <charset val="134"/>
        <scheme val="minor"/>
      </rPr>
      <t>by row.</t>
    </r>
  </si>
  <si>
    <r>
      <rPr>
        <sz val="11"/>
        <color theme="1"/>
        <rFont val="Calibri"/>
        <charset val="134"/>
        <scheme val="minor"/>
      </rPr>
      <t xml:space="preserve">The lookup value must appear in the </t>
    </r>
    <r>
      <rPr>
        <b/>
        <sz val="11"/>
        <color theme="1"/>
        <rFont val="Calibri"/>
        <charset val="134"/>
        <scheme val="minor"/>
      </rPr>
      <t>first row</t>
    </r>
    <r>
      <rPr>
        <sz val="11"/>
        <color theme="1"/>
        <rFont val="Calibri"/>
        <charset val="134"/>
        <scheme val="minor"/>
      </rPr>
      <t xml:space="preserve"> of the table, and the information to retrieve is specified by row number.</t>
    </r>
  </si>
  <si>
    <t>Note :This function is needed When your data is arranged In the form of rows and not columns.</t>
  </si>
  <si>
    <t>Syntax:</t>
  </si>
  <si>
    <t xml:space="preserve"> =HLOOKUP(What ,where ,Row number ,[Match type])</t>
  </si>
  <si>
    <r>
      <rPr>
        <sz val="11"/>
        <color theme="1"/>
        <rFont val="Calibri"/>
        <charset val="134"/>
        <scheme val="minor"/>
      </rPr>
      <t xml:space="preserve">The </t>
    </r>
    <r>
      <rPr>
        <b/>
        <sz val="11"/>
        <color theme="1"/>
        <rFont val="Calibri"/>
        <charset val="134"/>
        <scheme val="minor"/>
      </rPr>
      <t>Row number</t>
    </r>
    <r>
      <rPr>
        <sz val="11"/>
        <color theme="1"/>
        <rFont val="Calibri"/>
        <charset val="134"/>
        <scheme val="minor"/>
      </rPr>
      <t xml:space="preserve"> in the range containing the value to return </t>
    </r>
  </si>
  <si>
    <t>Example:</t>
  </si>
  <si>
    <t>Employee ID</t>
  </si>
  <si>
    <t>102</t>
  </si>
  <si>
    <t>103</t>
  </si>
  <si>
    <t>104</t>
  </si>
  <si>
    <t>105</t>
  </si>
  <si>
    <t>Department</t>
  </si>
  <si>
    <t>Name</t>
  </si>
  <si>
    <t>Ravi</t>
  </si>
  <si>
    <t>Suresh</t>
  </si>
  <si>
    <t>Katio</t>
  </si>
  <si>
    <t>Systems</t>
  </si>
  <si>
    <t>Finanace</t>
  </si>
  <si>
    <t>Salary</t>
  </si>
  <si>
    <t>XLOOKUP Function</t>
  </si>
  <si>
    <t>Similar to V lookup ,This function is also used to retrieve information from a table.</t>
  </si>
  <si>
    <t>XLOOKUP is Newer and more advanced then VLOOKUP.</t>
  </si>
  <si>
    <t>The limitation of V lookup is not applicable and hence this function is very flexible to use.</t>
  </si>
  <si>
    <t>X lookup( lookup_value, lookup_column, return_column, [if not form ])</t>
  </si>
  <si>
    <r>
      <rPr>
        <b/>
        <sz val="11"/>
        <color theme="1"/>
        <rFont val="Calibri"/>
        <charset val="134"/>
        <scheme val="minor"/>
      </rPr>
      <t>Lookup_value:</t>
    </r>
    <r>
      <rPr>
        <sz val="11"/>
        <color theme="1"/>
        <rFont val="Calibri"/>
        <charset val="134"/>
        <scheme val="minor"/>
      </rPr>
      <t xml:space="preserve"> What are you looking for </t>
    </r>
  </si>
  <si>
    <r>
      <rPr>
        <b/>
        <sz val="11"/>
        <color theme="1"/>
        <rFont val="Calibri"/>
        <charset val="134"/>
        <scheme val="minor"/>
      </rPr>
      <t>Lookup_column:</t>
    </r>
    <r>
      <rPr>
        <sz val="11"/>
        <color theme="1"/>
        <rFont val="Calibri"/>
        <charset val="134"/>
        <scheme val="minor"/>
      </rPr>
      <t>Where are you looking for (Only the lookup column).</t>
    </r>
  </si>
  <si>
    <r>
      <rPr>
        <b/>
        <sz val="11"/>
        <color theme="1"/>
        <rFont val="Calibri"/>
        <charset val="134"/>
        <scheme val="minor"/>
      </rPr>
      <t>Return_column:</t>
    </r>
    <r>
      <rPr>
        <sz val="11"/>
        <color theme="1"/>
        <rFont val="Calibri"/>
        <charset val="134"/>
        <scheme val="minor"/>
      </rPr>
      <t xml:space="preserve"> The column to return.</t>
    </r>
  </si>
  <si>
    <r>
      <rPr>
        <b/>
        <sz val="11"/>
        <color theme="1"/>
        <rFont val="Calibri"/>
        <charset val="134"/>
        <scheme val="minor"/>
      </rPr>
      <t>If_not_found:</t>
    </r>
    <r>
      <rPr>
        <sz val="11"/>
        <color theme="1"/>
        <rFont val="Calibri"/>
        <charset val="134"/>
        <scheme val="minor"/>
      </rPr>
      <t xml:space="preserve"> If a match is not found return the specified text .</t>
    </r>
  </si>
  <si>
    <t>Formula :</t>
  </si>
  <si>
    <t xml:space="preserve"> =XLOOKUP(H20,$C$20:$C$24,$E$20:$E$24,"Not Available")</t>
  </si>
  <si>
    <t>note: The Xlookup function is available in Excel 2021 and later as well as Microsoft 365 and Excel for the web .</t>
  </si>
  <si>
    <t>Example 1 :</t>
  </si>
  <si>
    <t>S.NO</t>
  </si>
  <si>
    <t>Employee id</t>
  </si>
  <si>
    <t>EMP ID</t>
  </si>
  <si>
    <t>System</t>
  </si>
  <si>
    <t>Purchase</t>
  </si>
  <si>
    <t>Katie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</si>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</sst>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 tint="0.399945066682943"/>
      </left>
      <right/>
      <top style="thin">
        <color theme="4" tint="0.399945066682943"/>
      </top>
      <bottom/>
      <diagonal/>
    </border>
    <border>
      <left/>
      <right/>
      <top style="thin">
        <color theme="4" tint="0.399945066682943"/>
      </top>
      <bottom/>
      <diagonal/>
    </border>
    <border>
      <left/>
      <right style="thin">
        <color theme="4" tint="0.399945066682943"/>
      </right>
      <top style="thin">
        <color theme="4" tint="0.399945066682943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theme="4" tint="0.399945066682943"/>
      </left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/>
      <right style="thin">
        <color theme="4" tint="0.399945066682943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4506668294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16" applyNumberFormat="0" applyAlignment="0" applyProtection="0">
      <alignment vertical="center"/>
    </xf>
    <xf numFmtId="0" fontId="14" fillId="10" borderId="17" applyNumberFormat="0" applyAlignment="0" applyProtection="0">
      <alignment vertical="center"/>
    </xf>
    <xf numFmtId="0" fontId="15" fillId="10" borderId="16" applyNumberFormat="0" applyAlignment="0" applyProtection="0">
      <alignment vertical="center"/>
    </xf>
    <xf numFmtId="0" fontId="16" fillId="11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5" borderId="4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0" fontId="0" fillId="5" borderId="8" xfId="0" applyFont="1" applyFill="1" applyBorder="1"/>
    <xf numFmtId="0" fontId="2" fillId="3" borderId="9" xfId="0" applyFont="1" applyFill="1" applyBorder="1"/>
    <xf numFmtId="0" fontId="0" fillId="5" borderId="9" xfId="0" applyFont="1" applyFill="1" applyBorder="1"/>
    <xf numFmtId="0" fontId="0" fillId="0" borderId="9" xfId="0" applyFont="1" applyBorder="1"/>
    <xf numFmtId="0" fontId="0" fillId="5" borderId="10" xfId="0" applyFont="1" applyFill="1" applyBorder="1"/>
    <xf numFmtId="0" fontId="1" fillId="2" borderId="0" xfId="0" applyFont="1" applyFill="1"/>
    <xf numFmtId="0" fontId="3" fillId="0" borderId="0" xfId="0" applyFont="1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0" fontId="0" fillId="4" borderId="3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4" borderId="5" xfId="0" applyFont="1" applyFill="1" applyBorder="1" applyAlignment="1">
      <alignment horizontal="left"/>
    </xf>
    <xf numFmtId="0" fontId="0" fillId="4" borderId="6" xfId="0" applyFont="1" applyFill="1" applyBorder="1" applyAlignment="1">
      <alignment horizontal="left"/>
    </xf>
    <xf numFmtId="0" fontId="0" fillId="4" borderId="7" xfId="0" applyFont="1" applyFill="1" applyBorder="1" applyAlignment="1">
      <alignment horizontal="left"/>
    </xf>
    <xf numFmtId="0" fontId="0" fillId="6" borderId="0" xfId="0" applyFill="1"/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2" borderId="11" xfId="0" applyFill="1" applyBorder="1"/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0" borderId="0" xfId="0" applyFont="1"/>
    <xf numFmtId="3" fontId="0" fillId="4" borderId="2" xfId="0" applyNumberFormat="1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4"/>
  <sheetViews>
    <sheetView zoomScale="145" zoomScaleNormal="145" workbookViewId="0">
      <selection activeCell="B48" sqref="B48"/>
    </sheetView>
  </sheetViews>
  <sheetFormatPr defaultColWidth="9" defaultRowHeight="14.4" outlineLevelCol="5"/>
  <cols>
    <col min="2" max="2" width="13" customWidth="1"/>
    <col min="3" max="3" width="15.8888888888889" customWidth="1"/>
    <col min="4" max="4" width="12.6666666666667" customWidth="1"/>
    <col min="6" max="6" width="16.3333333333333" customWidth="1"/>
  </cols>
  <sheetData>
    <row r="2" spans="2:3">
      <c r="B2" s="23" t="s">
        <v>0</v>
      </c>
      <c r="C2" s="23"/>
    </row>
    <row r="4" spans="2:2">
      <c r="B4" t="s">
        <v>1</v>
      </c>
    </row>
    <row r="5" spans="2:2">
      <c r="B5" t="s">
        <v>2</v>
      </c>
    </row>
    <row r="7" spans="2:2">
      <c r="B7" t="s">
        <v>3</v>
      </c>
    </row>
    <row r="8" spans="2:2">
      <c r="B8" t="s">
        <v>4</v>
      </c>
    </row>
    <row r="9" spans="2:3">
      <c r="B9" s="2" t="s">
        <v>5</v>
      </c>
      <c r="C9" s="2"/>
    </row>
    <row r="10" spans="2:2">
      <c r="B10" s="2" t="s">
        <v>6</v>
      </c>
    </row>
    <row r="11" spans="2:2">
      <c r="B11" s="2" t="s">
        <v>7</v>
      </c>
    </row>
    <row r="12" spans="2:2">
      <c r="B12" s="2" t="s">
        <v>8</v>
      </c>
    </row>
    <row r="13" spans="2:2">
      <c r="B13" s="2" t="s">
        <v>9</v>
      </c>
    </row>
    <row r="15" spans="2:2">
      <c r="B15" s="2" t="s">
        <v>5</v>
      </c>
    </row>
    <row r="16" spans="2:2">
      <c r="B16" s="56" t="s">
        <v>10</v>
      </c>
    </row>
    <row r="17" spans="2:2">
      <c r="B17" s="56" t="s">
        <v>11</v>
      </c>
    </row>
    <row r="19" spans="2:3">
      <c r="B19" t="s">
        <v>12</v>
      </c>
      <c r="C19" t="s">
        <v>13</v>
      </c>
    </row>
    <row r="21" spans="2:3">
      <c r="B21" t="s">
        <v>14</v>
      </c>
      <c r="C21" t="s">
        <v>15</v>
      </c>
    </row>
    <row r="23" spans="2:6">
      <c r="B23" s="3" t="s">
        <v>16</v>
      </c>
      <c r="C23" s="4" t="s">
        <v>17</v>
      </c>
      <c r="D23" s="4" t="s">
        <v>18</v>
      </c>
      <c r="E23" s="4" t="s">
        <v>19</v>
      </c>
      <c r="F23" s="5" t="s">
        <v>20</v>
      </c>
    </row>
    <row r="24" spans="2:6">
      <c r="B24" s="7">
        <v>101</v>
      </c>
      <c r="C24" s="8" t="s">
        <v>21</v>
      </c>
      <c r="D24" s="8" t="s">
        <v>22</v>
      </c>
      <c r="E24" s="57">
        <v>45000</v>
      </c>
      <c r="F24" s="9" t="s">
        <v>23</v>
      </c>
    </row>
    <row r="25" spans="2:6">
      <c r="B25" s="11">
        <v>102</v>
      </c>
      <c r="C25" s="12" t="s">
        <v>24</v>
      </c>
      <c r="D25" s="12" t="s">
        <v>25</v>
      </c>
      <c r="E25" s="12">
        <v>34220</v>
      </c>
      <c r="F25" s="13" t="s">
        <v>26</v>
      </c>
    </row>
    <row r="26" spans="2:6">
      <c r="B26" s="7">
        <v>103</v>
      </c>
      <c r="C26" s="8" t="s">
        <v>27</v>
      </c>
      <c r="D26" s="8" t="s">
        <v>28</v>
      </c>
      <c r="E26" s="8">
        <v>67800</v>
      </c>
      <c r="F26" s="9" t="s">
        <v>29</v>
      </c>
    </row>
    <row r="27" spans="2:6">
      <c r="B27" s="11">
        <v>104</v>
      </c>
      <c r="C27" s="12" t="s">
        <v>30</v>
      </c>
      <c r="D27" s="12" t="s">
        <v>31</v>
      </c>
      <c r="E27" s="12">
        <v>54882</v>
      </c>
      <c r="F27" s="13" t="s">
        <v>32</v>
      </c>
    </row>
    <row r="28" spans="2:6">
      <c r="B28" s="7">
        <v>105</v>
      </c>
      <c r="C28" s="8" t="s">
        <v>33</v>
      </c>
      <c r="D28" s="8" t="s">
        <v>34</v>
      </c>
      <c r="E28" s="8">
        <v>64988</v>
      </c>
      <c r="F28" s="9" t="s">
        <v>35</v>
      </c>
    </row>
    <row r="29" spans="2:6">
      <c r="B29" s="11">
        <v>106</v>
      </c>
      <c r="C29" s="12" t="s">
        <v>36</v>
      </c>
      <c r="D29" s="12" t="s">
        <v>37</v>
      </c>
      <c r="E29" s="12">
        <v>15475</v>
      </c>
      <c r="F29" s="13" t="s">
        <v>38</v>
      </c>
    </row>
    <row r="30" spans="2:6">
      <c r="B30" s="7">
        <v>107</v>
      </c>
      <c r="C30" s="8" t="s">
        <v>39</v>
      </c>
      <c r="D30" s="8" t="s">
        <v>22</v>
      </c>
      <c r="E30" s="8">
        <v>54875</v>
      </c>
      <c r="F30" s="9" t="s">
        <v>40</v>
      </c>
    </row>
    <row r="31" spans="2:6">
      <c r="B31" s="11">
        <v>108</v>
      </c>
      <c r="C31" s="12" t="s">
        <v>41</v>
      </c>
      <c r="D31" s="12" t="s">
        <v>25</v>
      </c>
      <c r="E31" s="12">
        <v>25646</v>
      </c>
      <c r="F31" s="13" t="s">
        <v>42</v>
      </c>
    </row>
    <row r="32" spans="2:6">
      <c r="B32" s="7">
        <v>109</v>
      </c>
      <c r="C32" s="8" t="s">
        <v>43</v>
      </c>
      <c r="D32" s="8" t="s">
        <v>28</v>
      </c>
      <c r="E32" s="8">
        <v>45854</v>
      </c>
      <c r="F32" s="9" t="s">
        <v>44</v>
      </c>
    </row>
    <row r="33" spans="2:6">
      <c r="B33" s="58">
        <v>110</v>
      </c>
      <c r="C33" s="59" t="s">
        <v>45</v>
      </c>
      <c r="D33" s="59" t="s">
        <v>37</v>
      </c>
      <c r="E33" s="59">
        <v>45111</v>
      </c>
      <c r="F33" s="60" t="s">
        <v>46</v>
      </c>
    </row>
    <row r="35" spans="2:2">
      <c r="B35" t="s">
        <v>47</v>
      </c>
    </row>
    <row r="36" spans="2:2">
      <c r="B36" t="s">
        <v>48</v>
      </c>
    </row>
    <row r="38" spans="2:2">
      <c r="B38" s="2" t="s">
        <v>49</v>
      </c>
    </row>
    <row r="39" spans="2:2">
      <c r="B39" t="s">
        <v>50</v>
      </c>
    </row>
    <row r="40" spans="2:2">
      <c r="B40" t="s">
        <v>51</v>
      </c>
    </row>
    <row r="42" spans="2:2">
      <c r="B42" t="s">
        <v>52</v>
      </c>
    </row>
    <row r="43" spans="2:2">
      <c r="B43" t="s">
        <v>53</v>
      </c>
    </row>
    <row r="44" spans="2:2">
      <c r="B44" t="s">
        <v>54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40"/>
  <sheetViews>
    <sheetView zoomScale="145" zoomScaleNormal="145" topLeftCell="A34" workbookViewId="0">
      <selection activeCell="G43" sqref="G43"/>
    </sheetView>
  </sheetViews>
  <sheetFormatPr defaultColWidth="9" defaultRowHeight="14.4" outlineLevelCol="6"/>
  <cols>
    <col min="2" max="2" width="11.4444444444444" customWidth="1"/>
    <col min="6" max="6" width="11.7777777777778" customWidth="1"/>
  </cols>
  <sheetData>
    <row r="2" spans="2:2">
      <c r="B2" t="s">
        <v>6</v>
      </c>
    </row>
    <row r="3" spans="2:2">
      <c r="B3" t="s">
        <v>55</v>
      </c>
    </row>
    <row r="5" spans="2:3">
      <c r="B5" t="s">
        <v>56</v>
      </c>
      <c r="C5" t="s">
        <v>57</v>
      </c>
    </row>
    <row r="6" spans="3:4">
      <c r="C6" s="1" t="s">
        <v>58</v>
      </c>
      <c r="D6" s="1"/>
    </row>
    <row r="7" spans="3:4">
      <c r="C7" s="1" t="s">
        <v>59</v>
      </c>
      <c r="D7" s="1"/>
    </row>
    <row r="8" spans="3:4">
      <c r="C8" s="1" t="s">
        <v>60</v>
      </c>
      <c r="D8" s="1"/>
    </row>
    <row r="10" spans="3:3">
      <c r="C10" s="2" t="s">
        <v>61</v>
      </c>
    </row>
    <row r="12" spans="3:5">
      <c r="C12" s="43" t="s">
        <v>62</v>
      </c>
      <c r="D12" s="43" t="s">
        <v>63</v>
      </c>
      <c r="E12" s="43" t="s">
        <v>64</v>
      </c>
    </row>
    <row r="13" spans="3:6">
      <c r="C13" s="43">
        <v>10</v>
      </c>
      <c r="D13" s="44">
        <v>5</v>
      </c>
      <c r="E13" s="43">
        <f>C13*D13</f>
        <v>50</v>
      </c>
      <c r="F13" t="s">
        <v>65</v>
      </c>
    </row>
    <row r="14" spans="3:6">
      <c r="C14" s="43">
        <v>20</v>
      </c>
      <c r="D14" s="43"/>
      <c r="E14" s="43">
        <f>C14*F15</f>
        <v>0</v>
      </c>
      <c r="F14" t="s">
        <v>66</v>
      </c>
    </row>
    <row r="15" spans="3:5">
      <c r="C15" s="43">
        <v>30</v>
      </c>
      <c r="D15" s="43"/>
      <c r="E15" s="43">
        <f t="shared" ref="E15:E17" si="0">C15*D15</f>
        <v>0</v>
      </c>
    </row>
    <row r="16" spans="3:5">
      <c r="C16" s="43">
        <v>10</v>
      </c>
      <c r="D16" s="43"/>
      <c r="E16" s="43">
        <f t="shared" si="0"/>
        <v>0</v>
      </c>
    </row>
    <row r="17" spans="3:5">
      <c r="C17" s="43">
        <v>50</v>
      </c>
      <c r="D17" s="43"/>
      <c r="E17" s="43">
        <f t="shared" si="0"/>
        <v>0</v>
      </c>
    </row>
    <row r="19" spans="3:3">
      <c r="C19" s="2" t="s">
        <v>67</v>
      </c>
    </row>
    <row r="21" spans="3:5">
      <c r="C21" s="43" t="s">
        <v>62</v>
      </c>
      <c r="D21" s="43" t="s">
        <v>63</v>
      </c>
      <c r="E21" s="43" t="s">
        <v>64</v>
      </c>
    </row>
    <row r="22" spans="3:7">
      <c r="C22" s="43">
        <v>10</v>
      </c>
      <c r="D22" s="44">
        <v>5</v>
      </c>
      <c r="E22" s="43">
        <f>C22*$D$22</f>
        <v>50</v>
      </c>
      <c r="F22" t="s">
        <v>68</v>
      </c>
      <c r="G22" t="s">
        <v>69</v>
      </c>
    </row>
    <row r="23" spans="3:5">
      <c r="C23" s="43">
        <v>20</v>
      </c>
      <c r="D23" s="43"/>
      <c r="E23" s="43">
        <f t="shared" ref="E23:E26" si="1">C23*$D$22</f>
        <v>100</v>
      </c>
    </row>
    <row r="24" spans="3:5">
      <c r="C24" s="43">
        <v>30</v>
      </c>
      <c r="D24" s="43"/>
      <c r="E24" s="43">
        <f t="shared" si="1"/>
        <v>150</v>
      </c>
    </row>
    <row r="25" spans="3:5">
      <c r="C25" s="43">
        <v>10</v>
      </c>
      <c r="D25" s="43"/>
      <c r="E25" s="43">
        <f t="shared" si="1"/>
        <v>50</v>
      </c>
    </row>
    <row r="26" spans="3:5">
      <c r="C26" s="43">
        <v>50</v>
      </c>
      <c r="D26" s="43"/>
      <c r="E26" s="43">
        <f t="shared" si="1"/>
        <v>250</v>
      </c>
    </row>
    <row r="28" spans="2:7">
      <c r="B28" t="s">
        <v>70</v>
      </c>
      <c r="C28" t="s">
        <v>71</v>
      </c>
      <c r="G28" t="s">
        <v>72</v>
      </c>
    </row>
    <row r="29" spans="3:7">
      <c r="C29" s="1" t="s">
        <v>73</v>
      </c>
      <c r="D29" s="1"/>
      <c r="E29" s="1"/>
      <c r="F29" s="1"/>
      <c r="G29" t="s">
        <v>74</v>
      </c>
    </row>
    <row r="32" spans="2:7">
      <c r="B32" s="38" t="s">
        <v>75</v>
      </c>
      <c r="C32" s="39" t="s">
        <v>76</v>
      </c>
      <c r="E32" s="38" t="s">
        <v>77</v>
      </c>
      <c r="F32" s="38" t="s">
        <v>75</v>
      </c>
      <c r="G32" s="39" t="s">
        <v>76</v>
      </c>
    </row>
    <row r="33" spans="2:7">
      <c r="B33" s="45">
        <v>50</v>
      </c>
      <c r="C33" s="46" t="s">
        <v>78</v>
      </c>
      <c r="E33" s="40" t="s">
        <v>79</v>
      </c>
      <c r="F33" s="47">
        <v>93</v>
      </c>
      <c r="G33" s="41" t="str">
        <f>LOOKUP(F33,$B$33:$B$37,$C$33:$C$37)</f>
        <v>A</v>
      </c>
    </row>
    <row r="34" spans="2:7">
      <c r="B34" s="48">
        <v>60</v>
      </c>
      <c r="C34" s="49" t="s">
        <v>80</v>
      </c>
      <c r="E34" s="50" t="s">
        <v>81</v>
      </c>
      <c r="F34" s="50">
        <v>90</v>
      </c>
      <c r="G34" s="41" t="str">
        <f t="shared" ref="G34:G40" si="2">LOOKUP(F34,$B$33:$B$37,$C$33:$C$37)</f>
        <v>A</v>
      </c>
    </row>
    <row r="35" spans="2:7">
      <c r="B35" s="45">
        <v>70</v>
      </c>
      <c r="C35" s="46" t="s">
        <v>82</v>
      </c>
      <c r="E35" s="40" t="s">
        <v>83</v>
      </c>
      <c r="F35" s="40">
        <v>87</v>
      </c>
      <c r="G35" s="41" t="str">
        <f t="shared" si="2"/>
        <v>B</v>
      </c>
    </row>
    <row r="36" spans="2:7">
      <c r="B36" s="48">
        <v>80</v>
      </c>
      <c r="C36" s="49" t="s">
        <v>84</v>
      </c>
      <c r="E36" s="50" t="s">
        <v>85</v>
      </c>
      <c r="F36" s="50">
        <v>62</v>
      </c>
      <c r="G36" s="41" t="str">
        <f t="shared" si="2"/>
        <v>D</v>
      </c>
    </row>
    <row r="37" spans="2:7">
      <c r="B37" s="51">
        <v>90</v>
      </c>
      <c r="C37" s="52" t="s">
        <v>86</v>
      </c>
      <c r="E37" s="53" t="s">
        <v>87</v>
      </c>
      <c r="F37" s="53">
        <v>54</v>
      </c>
      <c r="G37" s="41" t="str">
        <f t="shared" si="2"/>
        <v>F</v>
      </c>
    </row>
    <row r="38" spans="5:7">
      <c r="E38" s="54" t="s">
        <v>88</v>
      </c>
      <c r="F38" s="54">
        <v>68</v>
      </c>
      <c r="G38" s="41" t="str">
        <f t="shared" si="2"/>
        <v>D</v>
      </c>
    </row>
    <row r="39" spans="5:7">
      <c r="E39" s="55" t="s">
        <v>33</v>
      </c>
      <c r="F39" s="55">
        <v>53</v>
      </c>
      <c r="G39" s="41" t="str">
        <f t="shared" si="2"/>
        <v>F</v>
      </c>
    </row>
    <row r="40" spans="5:7">
      <c r="E40" s="54" t="s">
        <v>89</v>
      </c>
      <c r="F40" s="54">
        <v>72</v>
      </c>
      <c r="G40" s="41" t="str">
        <f t="shared" si="2"/>
        <v>C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47"/>
  <sheetViews>
    <sheetView zoomScale="130" zoomScaleNormal="130" topLeftCell="A34" workbookViewId="0">
      <selection activeCell="C17" sqref="C17"/>
    </sheetView>
  </sheetViews>
  <sheetFormatPr defaultColWidth="9" defaultRowHeight="14.4"/>
  <cols>
    <col min="2" max="2" width="13.2222222222222" customWidth="1"/>
    <col min="4" max="4" width="12.8888888888889" customWidth="1"/>
    <col min="6" max="6" width="10.2222222222222" customWidth="1"/>
    <col min="7" max="7" width="13.2222222222222" customWidth="1"/>
    <col min="8" max="8" width="12.8888888888889" customWidth="1"/>
    <col min="9" max="10" width="13.3333333333333" customWidth="1"/>
    <col min="11" max="11" width="13.1111111111111" customWidth="1"/>
  </cols>
  <sheetData>
    <row r="2" spans="2:4">
      <c r="B2" s="23" t="s">
        <v>90</v>
      </c>
      <c r="C2" s="1"/>
      <c r="D2" s="1"/>
    </row>
    <row r="4" spans="2:3">
      <c r="B4" s="2" t="s">
        <v>7</v>
      </c>
      <c r="C4" t="s">
        <v>91</v>
      </c>
    </row>
    <row r="5" spans="2:2">
      <c r="B5" t="s">
        <v>92</v>
      </c>
    </row>
    <row r="6" spans="2:2">
      <c r="B6" t="s">
        <v>93</v>
      </c>
    </row>
    <row r="8" spans="2:7">
      <c r="B8" t="s">
        <v>94</v>
      </c>
      <c r="C8" s="2" t="s">
        <v>95</v>
      </c>
      <c r="D8" s="2"/>
      <c r="E8" s="2"/>
      <c r="F8" s="2"/>
      <c r="G8" s="2"/>
    </row>
    <row r="10" spans="3:4">
      <c r="C10" t="s">
        <v>96</v>
      </c>
      <c r="D10" t="s">
        <v>97</v>
      </c>
    </row>
    <row r="11" spans="3:4">
      <c r="C11" t="s">
        <v>96</v>
      </c>
      <c r="D11" t="s">
        <v>98</v>
      </c>
    </row>
    <row r="12" spans="3:4">
      <c r="C12" t="s">
        <v>96</v>
      </c>
      <c r="D12" t="s">
        <v>99</v>
      </c>
    </row>
    <row r="13" spans="3:4">
      <c r="C13" t="s">
        <v>100</v>
      </c>
      <c r="D13" t="s">
        <v>101</v>
      </c>
    </row>
    <row r="16" spans="7:10">
      <c r="G16" t="s">
        <v>102</v>
      </c>
      <c r="J16" t="s">
        <v>103</v>
      </c>
    </row>
    <row r="17" spans="7:11">
      <c r="G17" s="23" t="s">
        <v>72</v>
      </c>
      <c r="H17" s="23"/>
      <c r="I17" s="23"/>
      <c r="J17" s="37" t="s">
        <v>104</v>
      </c>
      <c r="K17" s="37"/>
    </row>
    <row r="19" spans="2:2">
      <c r="B19" t="s">
        <v>105</v>
      </c>
    </row>
    <row r="20" spans="2:11">
      <c r="B20" s="3" t="s">
        <v>106</v>
      </c>
      <c r="C20" s="4" t="s">
        <v>77</v>
      </c>
      <c r="D20" s="4" t="s">
        <v>18</v>
      </c>
      <c r="E20" s="5" t="s">
        <v>19</v>
      </c>
      <c r="G20" s="3" t="s">
        <v>16</v>
      </c>
      <c r="H20" s="5" t="s">
        <v>18</v>
      </c>
      <c r="J20" s="3" t="s">
        <v>16</v>
      </c>
      <c r="K20" s="5" t="s">
        <v>18</v>
      </c>
    </row>
    <row r="21" spans="2:11">
      <c r="B21" s="7">
        <v>101</v>
      </c>
      <c r="C21" s="8" t="s">
        <v>39</v>
      </c>
      <c r="D21" s="8" t="s">
        <v>37</v>
      </c>
      <c r="E21" s="9">
        <v>7800</v>
      </c>
      <c r="G21" s="7">
        <v>101</v>
      </c>
      <c r="H21" s="9" t="str">
        <f>VLOOKUP(G21,B20:E25,3,FALSE)</f>
        <v>Finance</v>
      </c>
      <c r="J21" s="7">
        <v>101</v>
      </c>
      <c r="K21" s="9" t="str">
        <f>VLOOKUP(J21,$B$20:$E$25,3,)</f>
        <v>Finance</v>
      </c>
    </row>
    <row r="22" spans="2:11">
      <c r="B22" s="11">
        <v>102</v>
      </c>
      <c r="C22" s="12" t="s">
        <v>107</v>
      </c>
      <c r="D22" s="12" t="s">
        <v>22</v>
      </c>
      <c r="E22" s="13">
        <v>5600</v>
      </c>
      <c r="G22" s="11">
        <v>105</v>
      </c>
      <c r="H22" s="9" t="e">
        <f>H20VLOOKUP(G22,B21:E25,3,FALSE)</f>
        <v>#NAME?</v>
      </c>
      <c r="J22" s="11">
        <v>105</v>
      </c>
      <c r="K22" s="9" t="str">
        <f t="shared" ref="K22:K25" si="0">VLOOKUP(J22,$B$20:$E$25,3,)</f>
        <v>IT</v>
      </c>
    </row>
    <row r="23" spans="2:11">
      <c r="B23" s="7">
        <v>103</v>
      </c>
      <c r="C23" s="8" t="s">
        <v>108</v>
      </c>
      <c r="D23" s="8" t="s">
        <v>109</v>
      </c>
      <c r="E23" s="9">
        <v>12000</v>
      </c>
      <c r="G23" s="7">
        <v>104</v>
      </c>
      <c r="H23" s="9" t="str">
        <f>VLOOKUP(G23,B22:E25,3,FALSE)</f>
        <v>Marketing</v>
      </c>
      <c r="J23" s="7">
        <v>104</v>
      </c>
      <c r="K23" s="9" t="str">
        <f t="shared" si="0"/>
        <v>Marketing</v>
      </c>
    </row>
    <row r="24" spans="2:11">
      <c r="B24" s="11">
        <v>104</v>
      </c>
      <c r="C24" s="12" t="s">
        <v>110</v>
      </c>
      <c r="D24" s="12" t="s">
        <v>111</v>
      </c>
      <c r="E24" s="13">
        <v>5900</v>
      </c>
      <c r="G24" s="11">
        <v>102</v>
      </c>
      <c r="H24" s="9" t="e">
        <f>VLOOKUP(G24,B23:E25,3,FALSE)</f>
        <v>#N/A</v>
      </c>
      <c r="J24" s="11">
        <v>102</v>
      </c>
      <c r="K24" s="9" t="str">
        <f t="shared" si="0"/>
        <v>HR</v>
      </c>
    </row>
    <row r="25" spans="2:11">
      <c r="B25" s="15">
        <v>105</v>
      </c>
      <c r="C25" s="16" t="s">
        <v>112</v>
      </c>
      <c r="D25" s="16" t="s">
        <v>113</v>
      </c>
      <c r="E25" s="17">
        <v>2300</v>
      </c>
      <c r="G25" s="15">
        <v>123</v>
      </c>
      <c r="H25" s="9" t="e">
        <f>VLOOKUP(G25,B24:E25,3,FALSE)</f>
        <v>#N/A</v>
      </c>
      <c r="J25" s="15">
        <v>103</v>
      </c>
      <c r="K25" s="9" t="str">
        <f t="shared" si="0"/>
        <v>Sales</v>
      </c>
    </row>
    <row r="28" spans="2:4">
      <c r="B28" s="2" t="s">
        <v>114</v>
      </c>
      <c r="D28" t="s">
        <v>115</v>
      </c>
    </row>
    <row r="29" spans="2:2">
      <c r="B29" t="s">
        <v>116</v>
      </c>
    </row>
    <row r="30" spans="2:2">
      <c r="B30" t="s">
        <v>117</v>
      </c>
    </row>
    <row r="31" spans="2:8">
      <c r="B31" s="24" t="s">
        <v>118</v>
      </c>
      <c r="C31" s="24"/>
      <c r="D31" s="24"/>
      <c r="E31" s="24"/>
      <c r="F31" s="24"/>
      <c r="G31" s="24"/>
      <c r="H31" s="24"/>
    </row>
    <row r="33" spans="2:3">
      <c r="B33" t="s">
        <v>119</v>
      </c>
      <c r="C33" t="s">
        <v>120</v>
      </c>
    </row>
    <row r="35" spans="3:4">
      <c r="C35" t="s">
        <v>96</v>
      </c>
      <c r="D35" t="s">
        <v>97</v>
      </c>
    </row>
    <row r="36" spans="3:4">
      <c r="C36" t="s">
        <v>96</v>
      </c>
      <c r="D36" t="s">
        <v>98</v>
      </c>
    </row>
    <row r="37" spans="3:4">
      <c r="C37" t="s">
        <v>96</v>
      </c>
      <c r="D37" t="s">
        <v>121</v>
      </c>
    </row>
    <row r="38" spans="3:4">
      <c r="C38" t="s">
        <v>100</v>
      </c>
      <c r="D38" t="s">
        <v>101</v>
      </c>
    </row>
    <row r="40" spans="2:2">
      <c r="B40" t="s">
        <v>122</v>
      </c>
    </row>
    <row r="41" spans="2:10">
      <c r="B41" s="25" t="s">
        <v>123</v>
      </c>
      <c r="C41" s="26">
        <v>101</v>
      </c>
      <c r="D41" s="26" t="s">
        <v>124</v>
      </c>
      <c r="E41" s="26" t="s">
        <v>125</v>
      </c>
      <c r="F41" s="26" t="s">
        <v>126</v>
      </c>
      <c r="G41" s="27" t="s">
        <v>127</v>
      </c>
      <c r="I41" s="38" t="s">
        <v>123</v>
      </c>
      <c r="J41" s="39" t="s">
        <v>128</v>
      </c>
    </row>
    <row r="42" spans="2:10">
      <c r="B42" s="28" t="s">
        <v>129</v>
      </c>
      <c r="C42" s="29" t="s">
        <v>130</v>
      </c>
      <c r="D42" s="29" t="s">
        <v>131</v>
      </c>
      <c r="E42" s="29" t="s">
        <v>108</v>
      </c>
      <c r="F42" s="29" t="s">
        <v>132</v>
      </c>
      <c r="G42" s="30" t="s">
        <v>112</v>
      </c>
      <c r="I42" s="40">
        <v>105</v>
      </c>
      <c r="J42" s="41" t="e">
        <f>HLOOKUP(I42,$B$41:$G$44,3,FALSE)</f>
        <v>#N/A</v>
      </c>
    </row>
    <row r="43" spans="2:10">
      <c r="B43" s="31" t="s">
        <v>128</v>
      </c>
      <c r="C43" s="32" t="s">
        <v>133</v>
      </c>
      <c r="D43" s="32" t="s">
        <v>22</v>
      </c>
      <c r="E43" s="32" t="s">
        <v>109</v>
      </c>
      <c r="F43" s="32" t="s">
        <v>111</v>
      </c>
      <c r="G43" s="33" t="s">
        <v>134</v>
      </c>
      <c r="I43" s="40">
        <v>105</v>
      </c>
      <c r="J43" s="41" t="e">
        <f t="shared" ref="J43:J46" si="1">HLOOKUP(I43,$B$41:$G$44,3,FALSE)</f>
        <v>#N/A</v>
      </c>
    </row>
    <row r="44" spans="2:10">
      <c r="B44" s="34" t="s">
        <v>135</v>
      </c>
      <c r="C44" s="35">
        <v>7500</v>
      </c>
      <c r="D44" s="35">
        <v>5000</v>
      </c>
      <c r="E44" s="35">
        <v>12000</v>
      </c>
      <c r="F44" s="35">
        <v>5900</v>
      </c>
      <c r="G44" s="36">
        <v>2300</v>
      </c>
      <c r="I44" s="40">
        <v>105</v>
      </c>
      <c r="J44" s="41" t="e">
        <f t="shared" si="1"/>
        <v>#N/A</v>
      </c>
    </row>
    <row r="45" spans="9:10">
      <c r="I45" s="40">
        <v>105</v>
      </c>
      <c r="J45" s="41" t="e">
        <f t="shared" si="1"/>
        <v>#N/A</v>
      </c>
    </row>
    <row r="46" spans="9:10">
      <c r="I46" s="40">
        <v>105</v>
      </c>
      <c r="J46" s="41" t="e">
        <f t="shared" si="1"/>
        <v>#N/A</v>
      </c>
    </row>
    <row r="47" spans="9:10">
      <c r="I47" s="42"/>
      <c r="J47" s="4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4"/>
  <sheetViews>
    <sheetView tabSelected="1" zoomScale="160" zoomScaleNormal="160" topLeftCell="A9" workbookViewId="0">
      <selection activeCell="J20" sqref="J20"/>
    </sheetView>
  </sheetViews>
  <sheetFormatPr defaultColWidth="9" defaultRowHeight="14.4"/>
  <cols>
    <col min="3" max="3" width="11.5555555555556" customWidth="1"/>
    <col min="5" max="5" width="11.6666666666667" customWidth="1"/>
    <col min="9" max="9" width="12.5555555555556" customWidth="1"/>
  </cols>
  <sheetData>
    <row r="2" spans="2:3">
      <c r="B2" s="1" t="s">
        <v>136</v>
      </c>
      <c r="C2" s="1"/>
    </row>
    <row r="3" spans="2:2">
      <c r="B3" t="s">
        <v>137</v>
      </c>
    </row>
    <row r="4" spans="2:2">
      <c r="B4" t="s">
        <v>138</v>
      </c>
    </row>
    <row r="5" spans="2:2">
      <c r="B5" t="s">
        <v>139</v>
      </c>
    </row>
    <row r="7" spans="2:7">
      <c r="B7" t="s">
        <v>94</v>
      </c>
      <c r="C7" s="2" t="s">
        <v>140</v>
      </c>
      <c r="D7" s="2"/>
      <c r="E7" s="2"/>
      <c r="F7" s="2"/>
      <c r="G7" s="2"/>
    </row>
    <row r="9" spans="3:4">
      <c r="C9" t="s">
        <v>96</v>
      </c>
      <c r="D9" t="s">
        <v>141</v>
      </c>
    </row>
    <row r="10" spans="3:10">
      <c r="C10" t="s">
        <v>96</v>
      </c>
      <c r="D10" t="s">
        <v>142</v>
      </c>
      <c r="H10" s="1"/>
      <c r="I10" s="1"/>
      <c r="J10" s="1"/>
    </row>
    <row r="11" spans="3:4">
      <c r="C11" t="s">
        <v>96</v>
      </c>
      <c r="D11" t="s">
        <v>143</v>
      </c>
    </row>
    <row r="12" spans="3:4">
      <c r="C12" t="s">
        <v>100</v>
      </c>
      <c r="D12" t="s">
        <v>144</v>
      </c>
    </row>
    <row r="14" spans="2:3">
      <c r="B14" t="s">
        <v>145</v>
      </c>
      <c r="C14" t="s">
        <v>146</v>
      </c>
    </row>
    <row r="16" spans="2:2">
      <c r="B16" s="2" t="s">
        <v>147</v>
      </c>
    </row>
    <row r="18" spans="2:2">
      <c r="B18" t="s">
        <v>148</v>
      </c>
    </row>
    <row r="19" spans="2:9">
      <c r="B19" s="3" t="s">
        <v>149</v>
      </c>
      <c r="C19" s="4" t="s">
        <v>150</v>
      </c>
      <c r="D19" s="4" t="s">
        <v>129</v>
      </c>
      <c r="E19" s="4" t="s">
        <v>128</v>
      </c>
      <c r="F19" s="5" t="s">
        <v>135</v>
      </c>
      <c r="H19" s="6" t="s">
        <v>151</v>
      </c>
      <c r="I19" s="19" t="s">
        <v>18</v>
      </c>
    </row>
    <row r="20" spans="2:9">
      <c r="B20" s="7">
        <v>1</v>
      </c>
      <c r="C20" s="8">
        <v>101</v>
      </c>
      <c r="D20" s="8" t="s">
        <v>39</v>
      </c>
      <c r="E20" s="8" t="s">
        <v>152</v>
      </c>
      <c r="F20" s="9">
        <v>15000</v>
      </c>
      <c r="H20" s="10">
        <v>101</v>
      </c>
      <c r="I20" s="20" t="str">
        <f>_xlfn.XLOOKUP(H20,$C$20:$C$24,$E$20:$E$24,"Not Available")</f>
        <v>System</v>
      </c>
    </row>
    <row r="21" spans="2:9">
      <c r="B21" s="11">
        <v>2</v>
      </c>
      <c r="C21" s="12">
        <v>102</v>
      </c>
      <c r="D21" s="12" t="s">
        <v>107</v>
      </c>
      <c r="E21" s="12" t="s">
        <v>22</v>
      </c>
      <c r="F21" s="13">
        <v>12000</v>
      </c>
      <c r="H21" s="14">
        <v>105</v>
      </c>
      <c r="I21" s="21" t="str">
        <f>_xlfn.XLOOKUP(H21,$C$20:$C$24,$E$20:$E$24,"Not Available")</f>
        <v>Finance</v>
      </c>
    </row>
    <row r="22" spans="2:9">
      <c r="B22" s="7">
        <v>3</v>
      </c>
      <c r="C22" s="8">
        <v>103</v>
      </c>
      <c r="D22" s="8" t="s">
        <v>108</v>
      </c>
      <c r="E22" s="8" t="s">
        <v>153</v>
      </c>
      <c r="F22" s="9">
        <v>45111</v>
      </c>
      <c r="H22" s="10">
        <v>104</v>
      </c>
      <c r="I22" s="20" t="str">
        <f>_xlfn.XLOOKUP(H22,$C$20:$C$24,$E$20:$E$24,"Not Available")</f>
        <v>Marketing</v>
      </c>
    </row>
    <row r="23" spans="2:9">
      <c r="B23" s="11">
        <v>4</v>
      </c>
      <c r="C23" s="12">
        <v>104</v>
      </c>
      <c r="D23" s="12" t="s">
        <v>154</v>
      </c>
      <c r="E23" s="12" t="s">
        <v>111</v>
      </c>
      <c r="F23" s="13">
        <v>32500</v>
      </c>
      <c r="H23" s="14">
        <v>102</v>
      </c>
      <c r="I23" s="21" t="str">
        <f>_xlfn.XLOOKUP(H23,$C$20:$C$24,$E$20:$E$24,"Not Available")</f>
        <v>HR</v>
      </c>
    </row>
    <row r="24" spans="2:9">
      <c r="B24" s="15">
        <v>5</v>
      </c>
      <c r="C24" s="16">
        <v>105</v>
      </c>
      <c r="D24" s="16" t="s">
        <v>112</v>
      </c>
      <c r="E24" s="16" t="s">
        <v>155</v>
      </c>
      <c r="F24" s="17">
        <v>12540</v>
      </c>
      <c r="H24" s="18">
        <v>103</v>
      </c>
      <c r="I24" s="22" t="str">
        <f>_xlfn.XLOOKUP(H24,$C$20:$C$24,$E$20:$E$24,"Not Available")</f>
        <v>Purchase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SUCHETH DZA</cp:lastModifiedBy>
  <dcterms:created xsi:type="dcterms:W3CDTF">2026-04-19T07:00:00Z</dcterms:created>
  <dcterms:modified xsi:type="dcterms:W3CDTF">2026-04-22T17:29:49Z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B6DC26E62F264BF4ADFDFDC00EB79460_12</vt:lpwstr>
  </property>
  <property fmtid="{D5CDD505-2E9C-101B-9397-08002B2CF9AE}" pid="3" name="KSOProductBuildVer">
    <vt:lpwstr>1033-12.2.0.23196</vt:lpwstr>
  </property>
</Properties>
</file>