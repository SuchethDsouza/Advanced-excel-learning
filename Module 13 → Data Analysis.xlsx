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365\Excel\"/>
    </mc:Choice>
  </mc:AlternateContent>
  <xr:revisionPtr revIDLastSave="0" documentId="13_ncr:1_{A2F3BEF3-B66B-4F97-9736-D0F3EB4D02AE}" xr6:coauthVersionLast="41" xr6:coauthVersionMax="41" xr10:uidLastSave="{00000000-0000-0000-0000-000000000000}"/>
  <bookViews>
    <workbookView xWindow="-108" yWindow="-108" windowWidth="23256" windowHeight="12456" activeTab="3" xr2:uid="{D085F2D8-0AE4-40DD-BE09-05F8736653C9}"/>
  </bookViews>
  <sheets>
    <sheet name="Sheet1" sheetId="1" r:id="rId1"/>
    <sheet name="Scenario Summary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4" l="1"/>
  <c r="C10" i="4" l="1"/>
  <c r="C13" i="2"/>
  <c r="C12" i="2"/>
  <c r="D27" i="1"/>
  <c r="D31" i="1"/>
  <c r="D19" i="1"/>
  <c r="F9" i="4" l="1"/>
  <c r="I9" i="4"/>
</calcChain>
</file>

<file path=xl/sharedStrings.xml><?xml version="1.0" encoding="utf-8"?>
<sst xmlns="http://schemas.openxmlformats.org/spreadsheetml/2006/main" count="94" uniqueCount="73">
  <si>
    <t>Goal Seek for Data Analysis</t>
  </si>
  <si>
    <t>What-If Analysis</t>
  </si>
  <si>
    <t>It is a tool that allows users to change cell values and see how those changes affect the outcome of formulas on a worksheet.</t>
  </si>
  <si>
    <t>It’s a valuable tool for scenario planning and decision-making based on varying paramerters.</t>
  </si>
  <si>
    <t>Types of What-If Analysis,</t>
  </si>
  <si>
    <t>Goal Seek</t>
  </si>
  <si>
    <t>Scenario Manager</t>
  </si>
  <si>
    <t>Data Tables</t>
  </si>
  <si>
    <t>This feature is useful if you know the result you want from a formula but are unsure what input value is needed to achieve that result,</t>
  </si>
  <si>
    <t>In such case, use the Goal seek feature.</t>
  </si>
  <si>
    <t>ex:</t>
  </si>
  <si>
    <t>Loan Amount</t>
  </si>
  <si>
    <t>Duration (months)</t>
  </si>
  <si>
    <t>EMI (per month)</t>
  </si>
  <si>
    <t>6,00,000</t>
  </si>
  <si>
    <t>Lets assume customer can pay only 4000/month.</t>
  </si>
  <si>
    <t>1.The duration will increase (if the customer needs 6,00,000)</t>
  </si>
  <si>
    <t>2.the loan amount will decrease (if the customer can't pay beyond 120 months)</t>
  </si>
  <si>
    <t>Sol1,</t>
  </si>
  <si>
    <t>Sol2,</t>
  </si>
  <si>
    <t>Senario Manager</t>
  </si>
  <si>
    <t>Senario Manager is a what-if analysis tool that works on different scenarios.</t>
  </si>
  <si>
    <t>A scenario is a collection of values that Excel stores and can automatically substitue into your worksheet.</t>
  </si>
  <si>
    <t xml:space="preserve">You can create and save multiple sets pf values as scenarios, then switch b/w them to see the different outcomes. </t>
  </si>
  <si>
    <t>Sale Price</t>
  </si>
  <si>
    <t>Cost Price</t>
  </si>
  <si>
    <t>Qty Sold</t>
  </si>
  <si>
    <t>Sale value</t>
  </si>
  <si>
    <t>Profit</t>
  </si>
  <si>
    <t>Column1</t>
  </si>
  <si>
    <t>Column2</t>
  </si>
  <si>
    <t xml:space="preserve"> =C10*C11</t>
  </si>
  <si>
    <t xml:space="preserve"> =(C10-C9)*C11</t>
  </si>
  <si>
    <t>What-if ?</t>
  </si>
  <si>
    <t>Cost Price  incr/decr</t>
  </si>
  <si>
    <t>Sale Price  incr/decr</t>
  </si>
  <si>
    <t>Qty Sold    incr/decr</t>
  </si>
  <si>
    <t>$C$9</t>
  </si>
  <si>
    <t>$C$10</t>
  </si>
  <si>
    <t>$C$11</t>
  </si>
  <si>
    <t>$C$13</t>
  </si>
  <si>
    <t>Cost price 200</t>
  </si>
  <si>
    <t>Created by suchi on 08-04-2026</t>
  </si>
  <si>
    <t>Sale price 250</t>
  </si>
  <si>
    <t>Qty sold 500</t>
  </si>
  <si>
    <t>Cost price 50 &amp; Sale price 190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</si>
  <si>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</si>
  <si>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</si>
  <si>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</si>
  <si>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</si>
  <si>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</si>
  <si>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</si>
  <si>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</si>
  <si>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r>
      <t xml:space="preserve">Using </t>
    </r>
    <r>
      <rPr>
        <b/>
        <sz val="11"/>
        <color theme="1"/>
        <rFont val="Calibri"/>
        <family val="2"/>
        <scheme val="minor"/>
      </rPr>
      <t>Data Tables</t>
    </r>
    <r>
      <rPr>
        <sz val="11"/>
        <color theme="1"/>
        <rFont val="Calibri"/>
        <family val="2"/>
        <scheme val="minor"/>
      </rPr>
      <t xml:space="preserve"> for Analysis</t>
    </r>
  </si>
  <si>
    <t>This feature helps you to compare values in your formula and see how changing them affects the outcome of formulas on the worksheet.</t>
  </si>
  <si>
    <t>Tatal Sales</t>
  </si>
  <si>
    <t>Projected Sales Increase (%)</t>
  </si>
  <si>
    <t>Projected Sale</t>
  </si>
  <si>
    <t xml:space="preserve"> =C8+(C8*C9)/100</t>
  </si>
  <si>
    <t>Projected Sales</t>
  </si>
  <si>
    <r>
      <t xml:space="preserve">Use a </t>
    </r>
    <r>
      <rPr>
        <b/>
        <sz val="11"/>
        <color theme="1"/>
        <rFont val="Calibri"/>
        <family val="2"/>
        <scheme val="minor"/>
      </rPr>
      <t>one-variable data table</t>
    </r>
    <r>
      <rPr>
        <sz val="11"/>
        <color theme="1"/>
        <rFont val="Calibri"/>
        <family val="2"/>
        <scheme val="minor"/>
      </rPr>
      <t xml:space="preserve"> if you want to see how different values of one variable in one or more formulas will change the results of those fromula</t>
    </r>
  </si>
  <si>
    <t>one-variable data table</t>
  </si>
  <si>
    <t>Two- variable data table</t>
  </si>
  <si>
    <t>A two-variable data table uses a formula that contains two lists of input values. The formula must refer to two different input cells.</t>
  </si>
  <si>
    <t>Projected Expenses (%)</t>
  </si>
  <si>
    <t xml:space="preserve"> =C21+((C21*C22)-(C21*C23))/100</t>
  </si>
  <si>
    <t>What-if</t>
  </si>
  <si>
    <t>5</t>
  </si>
  <si>
    <t>10</t>
  </si>
  <si>
    <t>20</t>
  </si>
  <si>
    <t>30</t>
  </si>
  <si>
    <t>40</t>
  </si>
  <si>
    <t>Two-variable data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</si>
</sst>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0" xfId="0" applyFont="1"/>
    <xf numFmtId="0" fontId="0" fillId="4" borderId="1" xfId="0" applyFont="1" applyFill="1" applyBorder="1"/>
    <xf numFmtId="0" fontId="0" fillId="4" borderId="2" xfId="0" applyFont="1" applyFill="1" applyBorder="1"/>
    <xf numFmtId="0" fontId="1" fillId="3" borderId="5" xfId="0" applyFont="1" applyFill="1" applyBorder="1"/>
    <xf numFmtId="3" fontId="1" fillId="3" borderId="6" xfId="0" applyNumberFormat="1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0" borderId="4" xfId="0" applyFont="1" applyBorder="1"/>
    <xf numFmtId="3" fontId="0" fillId="0" borderId="3" xfId="0" applyNumberFormat="1" applyFont="1" applyBorder="1"/>
    <xf numFmtId="0" fontId="2" fillId="2" borderId="0" xfId="0" applyFont="1" applyFill="1"/>
    <xf numFmtId="0" fontId="4" fillId="2" borderId="0" xfId="0" applyFont="1" applyFill="1"/>
    <xf numFmtId="3" fontId="4" fillId="3" borderId="6" xfId="0" applyNumberFormat="1" applyFont="1" applyFill="1" applyBorder="1"/>
    <xf numFmtId="0" fontId="2" fillId="4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5" borderId="0" xfId="0" applyFill="1"/>
    <xf numFmtId="0" fontId="0" fillId="0" borderId="0" xfId="0" applyFill="1" applyBorder="1" applyAlignment="1"/>
    <xf numFmtId="0" fontId="0" fillId="0" borderId="10" xfId="0" applyFill="1" applyBorder="1" applyAlignment="1"/>
    <xf numFmtId="0" fontId="5" fillId="6" borderId="11" xfId="0" applyFont="1" applyFill="1" applyBorder="1" applyAlignment="1">
      <alignment horizontal="left"/>
    </xf>
    <xf numFmtId="0" fontId="5" fillId="6" borderId="9" xfId="0" applyFont="1" applyFill="1" applyBorder="1" applyAlignment="1">
      <alignment horizontal="left"/>
    </xf>
    <xf numFmtId="0" fontId="0" fillId="0" borderId="12" xfId="0" applyFill="1" applyBorder="1" applyAlignment="1"/>
    <xf numFmtId="0" fontId="6" fillId="7" borderId="0" xfId="0" applyFont="1" applyFill="1" applyBorder="1" applyAlignment="1">
      <alignment horizontal="left"/>
    </xf>
    <xf numFmtId="0" fontId="7" fillId="7" borderId="12" xfId="0" applyFont="1" applyFill="1" applyBorder="1" applyAlignment="1">
      <alignment horizontal="left"/>
    </xf>
    <xf numFmtId="0" fontId="6" fillId="7" borderId="10" xfId="0" applyFont="1" applyFill="1" applyBorder="1" applyAlignment="1">
      <alignment horizontal="left"/>
    </xf>
    <xf numFmtId="0" fontId="8" fillId="6" borderId="9" xfId="0" applyFont="1" applyFill="1" applyBorder="1" applyAlignment="1">
      <alignment horizontal="right"/>
    </xf>
    <xf numFmtId="0" fontId="8" fillId="6" borderId="11" xfId="0" applyFont="1" applyFill="1" applyBorder="1" applyAlignment="1">
      <alignment horizontal="right"/>
    </xf>
    <xf numFmtId="0" fontId="0" fillId="8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0" fillId="4" borderId="16" xfId="0" applyFont="1" applyFill="1" applyBorder="1"/>
    <xf numFmtId="0" fontId="0" fillId="4" borderId="17" xfId="0" applyFont="1" applyFill="1" applyBorder="1"/>
    <xf numFmtId="0" fontId="0" fillId="0" borderId="14" xfId="0" applyFont="1" applyBorder="1"/>
    <xf numFmtId="0" fontId="0" fillId="0" borderId="15" xfId="0" applyFont="1" applyBorder="1"/>
    <xf numFmtId="0" fontId="0" fillId="4" borderId="14" xfId="0" applyFont="1" applyFill="1" applyBorder="1"/>
    <xf numFmtId="0" fontId="0" fillId="4" borderId="15" xfId="0" applyFont="1" applyFill="1" applyBorder="1"/>
    <xf numFmtId="0" fontId="0" fillId="0" borderId="18" xfId="0" applyFont="1" applyBorder="1"/>
    <xf numFmtId="3" fontId="0" fillId="4" borderId="8" xfId="0" applyNumberFormat="1" applyFont="1" applyFill="1" applyBorder="1"/>
    <xf numFmtId="0" fontId="4" fillId="0" borderId="0" xfId="0" applyFont="1"/>
    <xf numFmtId="0" fontId="0" fillId="4" borderId="3" xfId="0" applyFont="1" applyFill="1" applyBorder="1"/>
    <xf numFmtId="3" fontId="0" fillId="4" borderId="3" xfId="0" applyNumberFormat="1" applyFont="1" applyFill="1" applyBorder="1"/>
    <xf numFmtId="0" fontId="0" fillId="0" borderId="3" xfId="0" applyFont="1" applyBorder="1"/>
    <xf numFmtId="0" fontId="0" fillId="0" borderId="3" xfId="0" applyFont="1" applyFill="1" applyBorder="1"/>
    <xf numFmtId="0" fontId="0" fillId="0" borderId="3" xfId="0" applyBorder="1"/>
    <xf numFmtId="0" fontId="0" fillId="0" borderId="5" xfId="0" applyFont="1" applyBorder="1"/>
    <xf numFmtId="0" fontId="0" fillId="0" borderId="6" xfId="0" applyFont="1" applyBorder="1"/>
    <xf numFmtId="0" fontId="0" fillId="4" borderId="4" xfId="0" applyFont="1" applyFill="1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B712-FCC3-4DBC-BC5F-BD4ABB703C2F}">
  <dimension ref="B2:E31"/>
  <sheetViews>
    <sheetView topLeftCell="A34" zoomScale="160" zoomScaleNormal="160" workbookViewId="0">
      <selection activeCell="I19" sqref="I19"/>
    </sheetView>
  </sheetViews>
  <sheetFormatPr defaultRowHeight="14.4" x14ac:dyDescent="0.3"/>
  <cols>
    <col min="3" max="3" width="16.44140625" customWidth="1"/>
    <col min="4" max="4" width="9" customWidth="1"/>
    <col min="6" max="6" width="16" customWidth="1"/>
  </cols>
  <sheetData>
    <row r="2" spans="2:4" x14ac:dyDescent="0.3">
      <c r="B2" s="1" t="s">
        <v>0</v>
      </c>
      <c r="C2" s="1"/>
      <c r="D2" s="1"/>
    </row>
    <row r="3" spans="2:4" x14ac:dyDescent="0.3">
      <c r="B3" s="2" t="s">
        <v>1</v>
      </c>
      <c r="C3" s="2"/>
    </row>
    <row r="4" spans="2:4" x14ac:dyDescent="0.3">
      <c r="B4" t="s">
        <v>2</v>
      </c>
    </row>
    <row r="6" spans="2:4" x14ac:dyDescent="0.3">
      <c r="B6" t="s">
        <v>3</v>
      </c>
    </row>
    <row r="7" spans="2:4" x14ac:dyDescent="0.3">
      <c r="B7" t="s">
        <v>4</v>
      </c>
    </row>
    <row r="8" spans="2:4" x14ac:dyDescent="0.3">
      <c r="B8" s="2" t="s">
        <v>5</v>
      </c>
    </row>
    <row r="9" spans="2:4" x14ac:dyDescent="0.3">
      <c r="B9" s="2" t="s">
        <v>6</v>
      </c>
    </row>
    <row r="10" spans="2:4" x14ac:dyDescent="0.3">
      <c r="B10" s="2" t="s">
        <v>7</v>
      </c>
    </row>
    <row r="12" spans="2:4" x14ac:dyDescent="0.3">
      <c r="B12" s="2" t="s">
        <v>5</v>
      </c>
    </row>
    <row r="13" spans="2:4" x14ac:dyDescent="0.3">
      <c r="B13" s="3" t="s">
        <v>8</v>
      </c>
    </row>
    <row r="14" spans="2:4" x14ac:dyDescent="0.3">
      <c r="B14" s="3" t="s">
        <v>9</v>
      </c>
    </row>
    <row r="16" spans="2:4" x14ac:dyDescent="0.3">
      <c r="B16" t="s">
        <v>10</v>
      </c>
    </row>
    <row r="17" spans="2:5" x14ac:dyDescent="0.3">
      <c r="C17" s="6" t="s">
        <v>11</v>
      </c>
      <c r="D17" s="7" t="s">
        <v>14</v>
      </c>
    </row>
    <row r="18" spans="2:5" x14ac:dyDescent="0.3">
      <c r="C18" s="8" t="s">
        <v>12</v>
      </c>
      <c r="D18" s="9">
        <v>120</v>
      </c>
    </row>
    <row r="19" spans="2:5" x14ac:dyDescent="0.3">
      <c r="C19" s="10" t="s">
        <v>13</v>
      </c>
      <c r="D19" s="11">
        <f>D17/D18</f>
        <v>5000</v>
      </c>
    </row>
    <row r="21" spans="2:5" x14ac:dyDescent="0.3">
      <c r="B21" s="13" t="s">
        <v>15</v>
      </c>
      <c r="C21" s="12"/>
      <c r="D21" s="12"/>
      <c r="E21" s="12"/>
    </row>
    <row r="22" spans="2:5" x14ac:dyDescent="0.3">
      <c r="B22" t="s">
        <v>16</v>
      </c>
    </row>
    <row r="23" spans="2:5" x14ac:dyDescent="0.3">
      <c r="B23" t="s">
        <v>17</v>
      </c>
    </row>
    <row r="25" spans="2:5" x14ac:dyDescent="0.3">
      <c r="B25" t="s">
        <v>18</v>
      </c>
      <c r="C25" s="6" t="s">
        <v>11</v>
      </c>
      <c r="D25" s="7">
        <v>600000</v>
      </c>
    </row>
    <row r="26" spans="2:5" x14ac:dyDescent="0.3">
      <c r="C26" s="8" t="s">
        <v>12</v>
      </c>
      <c r="D26" s="15">
        <v>149.99998128951441</v>
      </c>
    </row>
    <row r="27" spans="2:5" x14ac:dyDescent="0.3">
      <c r="C27" s="10" t="s">
        <v>13</v>
      </c>
      <c r="D27" s="11">
        <f>D25/D26</f>
        <v>4000.0004989463446</v>
      </c>
    </row>
    <row r="29" spans="2:5" x14ac:dyDescent="0.3">
      <c r="B29" t="s">
        <v>19</v>
      </c>
      <c r="C29" s="6" t="s">
        <v>11</v>
      </c>
      <c r="D29" s="14">
        <v>480000</v>
      </c>
    </row>
    <row r="30" spans="2:5" x14ac:dyDescent="0.3">
      <c r="C30" s="8" t="s">
        <v>12</v>
      </c>
      <c r="D30" s="9">
        <v>120</v>
      </c>
    </row>
    <row r="31" spans="2:5" x14ac:dyDescent="0.3">
      <c r="C31" s="10" t="s">
        <v>13</v>
      </c>
      <c r="D31" s="11">
        <f>D29/D30</f>
        <v>4000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D5DD-2CA3-494D-8250-70F82602E45A}">
  <sheetPr>
    <outlinePr summaryBelow="0"/>
  </sheetPr>
  <dimension ref="B1:H13"/>
  <sheetViews>
    <sheetView showGridLines="0" workbookViewId="0"/>
  </sheetViews>
  <sheetFormatPr defaultRowHeight="14.4" outlineLevelRow="1" outlineLevelCol="1" x14ac:dyDescent="0.3"/>
  <cols>
    <col min="3" max="3" width="6.109375" bestFit="1" customWidth="1"/>
    <col min="4" max="8" width="24.44140625" bestFit="1" customWidth="1" outlineLevel="1"/>
  </cols>
  <sheetData>
    <row r="1" spans="2:8" ht="15" thickBot="1" x14ac:dyDescent="0.35"/>
    <row r="2" spans="2:8" ht="15.6" x14ac:dyDescent="0.3">
      <c r="B2" s="26" t="s">
        <v>46</v>
      </c>
      <c r="C2" s="26"/>
      <c r="D2" s="31"/>
      <c r="E2" s="31"/>
      <c r="F2" s="31"/>
      <c r="G2" s="31"/>
      <c r="H2" s="31"/>
    </row>
    <row r="3" spans="2:8" ht="15.6" collapsed="1" x14ac:dyDescent="0.3">
      <c r="B3" s="25"/>
      <c r="C3" s="25"/>
      <c r="D3" s="32" t="s">
        <v>48</v>
      </c>
      <c r="E3" s="32" t="s">
        <v>41</v>
      </c>
      <c r="F3" s="32" t="s">
        <v>43</v>
      </c>
      <c r="G3" s="32" t="s">
        <v>44</v>
      </c>
      <c r="H3" s="32" t="s">
        <v>45</v>
      </c>
    </row>
    <row r="4" spans="2:8" hidden="1" outlineLevel="1" x14ac:dyDescent="0.3">
      <c r="B4" s="28"/>
      <c r="C4" s="28"/>
      <c r="D4" s="23"/>
      <c r="E4" s="34" t="s">
        <v>42</v>
      </c>
      <c r="F4" s="34" t="s">
        <v>42</v>
      </c>
      <c r="G4" s="34" t="s">
        <v>42</v>
      </c>
      <c r="H4" s="34" t="s">
        <v>42</v>
      </c>
    </row>
    <row r="5" spans="2:8" x14ac:dyDescent="0.3">
      <c r="B5" s="29" t="s">
        <v>47</v>
      </c>
      <c r="C5" s="29"/>
      <c r="D5" s="27"/>
      <c r="E5" s="27"/>
      <c r="F5" s="27"/>
      <c r="G5" s="27"/>
      <c r="H5" s="27"/>
    </row>
    <row r="6" spans="2:8" outlineLevel="1" x14ac:dyDescent="0.3">
      <c r="B6" s="28"/>
      <c r="C6" s="28" t="s">
        <v>37</v>
      </c>
      <c r="D6" s="23">
        <v>50</v>
      </c>
      <c r="E6" s="33">
        <v>200</v>
      </c>
      <c r="F6" s="23">
        <v>50</v>
      </c>
      <c r="G6" s="23">
        <v>50</v>
      </c>
      <c r="H6" s="33">
        <v>50</v>
      </c>
    </row>
    <row r="7" spans="2:8" outlineLevel="1" x14ac:dyDescent="0.3">
      <c r="B7" s="28"/>
      <c r="C7" s="28" t="s">
        <v>38</v>
      </c>
      <c r="D7" s="23">
        <v>190</v>
      </c>
      <c r="E7" s="23">
        <v>190</v>
      </c>
      <c r="F7" s="33">
        <v>250</v>
      </c>
      <c r="G7" s="23">
        <v>190</v>
      </c>
      <c r="H7" s="33">
        <v>190</v>
      </c>
    </row>
    <row r="8" spans="2:8" outlineLevel="1" x14ac:dyDescent="0.3">
      <c r="B8" s="28"/>
      <c r="C8" s="28" t="s">
        <v>39</v>
      </c>
      <c r="D8" s="23">
        <v>500</v>
      </c>
      <c r="E8" s="23">
        <v>500</v>
      </c>
      <c r="F8" s="23">
        <v>500</v>
      </c>
      <c r="G8" s="33">
        <v>500</v>
      </c>
      <c r="H8" s="23">
        <v>500</v>
      </c>
    </row>
    <row r="9" spans="2:8" x14ac:dyDescent="0.3">
      <c r="B9" s="29" t="s">
        <v>49</v>
      </c>
      <c r="C9" s="29"/>
      <c r="D9" s="27"/>
      <c r="E9" s="27"/>
      <c r="F9" s="27"/>
      <c r="G9" s="27"/>
      <c r="H9" s="27"/>
    </row>
    <row r="10" spans="2:8" ht="15" outlineLevel="1" thickBot="1" x14ac:dyDescent="0.35">
      <c r="B10" s="30"/>
      <c r="C10" s="30" t="s">
        <v>40</v>
      </c>
      <c r="D10" s="24">
        <v>70000</v>
      </c>
      <c r="E10" s="24">
        <v>-5000</v>
      </c>
      <c r="F10" s="24">
        <v>100000</v>
      </c>
      <c r="G10" s="24">
        <v>70000</v>
      </c>
      <c r="H10" s="24">
        <v>70000</v>
      </c>
    </row>
    <row r="11" spans="2:8" x14ac:dyDescent="0.3">
      <c r="B11" t="s">
        <v>50</v>
      </c>
    </row>
    <row r="12" spans="2:8" x14ac:dyDescent="0.3">
      <c r="B12" t="s">
        <v>51</v>
      </c>
    </row>
    <row r="13" spans="2:8" x14ac:dyDescent="0.3">
      <c r="B1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1F8D-F82E-4B7C-9537-0EFCB41A079F}">
  <dimension ref="B2:H13"/>
  <sheetViews>
    <sheetView zoomScale="160" zoomScaleNormal="160" workbookViewId="0">
      <selection activeCell="F12" sqref="F12"/>
    </sheetView>
  </sheetViews>
  <sheetFormatPr defaultRowHeight="14.4" x14ac:dyDescent="0.3"/>
  <cols>
    <col min="2" max="3" width="9.109375" customWidth="1"/>
  </cols>
  <sheetData>
    <row r="2" spans="2:8" x14ac:dyDescent="0.3">
      <c r="B2" s="1" t="s">
        <v>20</v>
      </c>
      <c r="C2" s="1"/>
    </row>
    <row r="3" spans="2:8" x14ac:dyDescent="0.3">
      <c r="B3" t="s">
        <v>21</v>
      </c>
    </row>
    <row r="4" spans="2:8" x14ac:dyDescent="0.3">
      <c r="B4" t="s">
        <v>22</v>
      </c>
    </row>
    <row r="5" spans="2:8" x14ac:dyDescent="0.3">
      <c r="B5" t="s">
        <v>23</v>
      </c>
    </row>
    <row r="7" spans="2:8" x14ac:dyDescent="0.3">
      <c r="B7" t="s">
        <v>10</v>
      </c>
    </row>
    <row r="8" spans="2:8" x14ac:dyDescent="0.3">
      <c r="B8" s="16" t="s">
        <v>29</v>
      </c>
      <c r="C8" s="17" t="s">
        <v>30</v>
      </c>
      <c r="F8" t="s">
        <v>33</v>
      </c>
      <c r="G8" s="22" t="s">
        <v>34</v>
      </c>
      <c r="H8" s="22"/>
    </row>
    <row r="9" spans="2:8" x14ac:dyDescent="0.3">
      <c r="B9" s="18" t="s">
        <v>25</v>
      </c>
      <c r="C9" s="19">
        <v>50</v>
      </c>
      <c r="G9" s="22" t="s">
        <v>35</v>
      </c>
      <c r="H9" s="22"/>
    </row>
    <row r="10" spans="2:8" x14ac:dyDescent="0.3">
      <c r="B10" s="20" t="s">
        <v>24</v>
      </c>
      <c r="C10" s="21">
        <v>190</v>
      </c>
      <c r="G10" s="22" t="s">
        <v>36</v>
      </c>
      <c r="H10" s="22"/>
    </row>
    <row r="11" spans="2:8" x14ac:dyDescent="0.3">
      <c r="B11" s="18" t="s">
        <v>26</v>
      </c>
      <c r="C11" s="19">
        <v>500</v>
      </c>
    </row>
    <row r="12" spans="2:8" x14ac:dyDescent="0.3">
      <c r="B12" s="20" t="s">
        <v>27</v>
      </c>
      <c r="C12" s="21">
        <f>C10*C11</f>
        <v>95000</v>
      </c>
      <c r="D12" t="s">
        <v>31</v>
      </c>
    </row>
    <row r="13" spans="2:8" x14ac:dyDescent="0.3">
      <c r="B13" s="4" t="s">
        <v>28</v>
      </c>
      <c r="C13" s="5">
        <f>(C10-C9)*C11</f>
        <v>70000</v>
      </c>
      <c r="D13" t="s">
        <v>32</v>
      </c>
    </row>
  </sheetData>
  <scenarios current="3" show="3" sqref="C13">
    <scenario name="Cost price 200" locked="1" count="1" user="suchi" comment="Created by suchi on 08-04-2026">
      <inputCells r="C9" val="200"/>
    </scenario>
    <scenario name="Sale price 250" locked="1" count="1" user="suchi" comment="Created by suchi on 08-04-2026">
      <inputCells r="C10" val="250"/>
    </scenario>
    <scenario name="Qty sold 500" locked="1" count="1" user="suchi" comment="Created by suchi on 08-04-2026">
      <inputCells r="C11" val="500"/>
    </scenario>
    <scenario name="Cost price 50 &amp; Sale price 190" locked="1" count="2" user="suchi" comment="Created by suchi on 08-04-2026">
      <inputCells r="C9" val="50"/>
      <inputCells r="C10" val="190"/>
    </scenario>
  </scenario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63D9-7625-4B6E-BD23-90E059489FDA}">
  <dimension ref="B2:I35"/>
  <sheetViews>
    <sheetView tabSelected="1" topLeftCell="A18" zoomScale="145" zoomScaleNormal="145" workbookViewId="0">
      <selection activeCell="H22" sqref="H22"/>
    </sheetView>
  </sheetViews>
  <sheetFormatPr defaultRowHeight="14.4" x14ac:dyDescent="0.3"/>
  <cols>
    <col min="2" max="2" width="27.44140625" customWidth="1"/>
    <col min="3" max="3" width="9.5546875" customWidth="1"/>
    <col min="5" max="5" width="25.33203125" customWidth="1"/>
    <col min="6" max="6" width="14.5546875" customWidth="1"/>
    <col min="8" max="8" width="26.109375" customWidth="1"/>
    <col min="9" max="9" width="15.21875" customWidth="1"/>
  </cols>
  <sheetData>
    <row r="2" spans="2:9" x14ac:dyDescent="0.3">
      <c r="B2" s="1" t="s">
        <v>53</v>
      </c>
      <c r="C2" s="1"/>
      <c r="D2" s="1"/>
    </row>
    <row r="3" spans="2:9" x14ac:dyDescent="0.3">
      <c r="B3" t="s">
        <v>54</v>
      </c>
    </row>
    <row r="4" spans="2:9" x14ac:dyDescent="0.3">
      <c r="B4" t="s">
        <v>60</v>
      </c>
    </row>
    <row r="6" spans="2:9" x14ac:dyDescent="0.3">
      <c r="B6" t="s">
        <v>10</v>
      </c>
    </row>
    <row r="7" spans="2:9" x14ac:dyDescent="0.3">
      <c r="B7" s="16" t="s">
        <v>29</v>
      </c>
      <c r="C7" s="17" t="s">
        <v>30</v>
      </c>
      <c r="E7" t="s">
        <v>33</v>
      </c>
      <c r="H7" s="46" t="s">
        <v>61</v>
      </c>
    </row>
    <row r="8" spans="2:9" ht="15" thickBot="1" x14ac:dyDescent="0.35">
      <c r="B8" s="18" t="s">
        <v>55</v>
      </c>
      <c r="C8" s="45">
        <v>2000000</v>
      </c>
      <c r="E8" s="36" t="s">
        <v>56</v>
      </c>
      <c r="F8" s="37" t="s">
        <v>59</v>
      </c>
      <c r="H8" s="36" t="s">
        <v>56</v>
      </c>
      <c r="I8" s="37" t="s">
        <v>59</v>
      </c>
    </row>
    <row r="9" spans="2:9" x14ac:dyDescent="0.3">
      <c r="B9" s="20" t="s">
        <v>56</v>
      </c>
      <c r="C9" s="21">
        <v>1.5</v>
      </c>
      <c r="E9" s="38"/>
      <c r="F9" s="39">
        <f>C10</f>
        <v>2030000</v>
      </c>
      <c r="H9" s="38"/>
      <c r="I9" s="39">
        <f>C10</f>
        <v>2030000</v>
      </c>
    </row>
    <row r="10" spans="2:9" x14ac:dyDescent="0.3">
      <c r="B10" s="4" t="s">
        <v>57</v>
      </c>
      <c r="C10" s="5">
        <f>C8+(C8*C9)/100</f>
        <v>2030000</v>
      </c>
      <c r="E10" s="40">
        <v>1</v>
      </c>
      <c r="F10" s="41">
        <f t="dataTable" ref="F10:F16" dt2D="0" dtr="0" r1="C9" ca="1"/>
        <v>2020000</v>
      </c>
      <c r="H10" s="40">
        <v>1</v>
      </c>
      <c r="I10" s="41">
        <f t="dataTable" ref="I10:I16" dt2D="0" dtr="0" r1="C9"/>
        <v>2020000</v>
      </c>
    </row>
    <row r="11" spans="2:9" x14ac:dyDescent="0.3">
      <c r="C11" t="s">
        <v>58</v>
      </c>
      <c r="E11" s="42">
        <v>1.5</v>
      </c>
      <c r="F11" s="43">
        <v>2030000</v>
      </c>
      <c r="H11" s="42">
        <v>1.5</v>
      </c>
      <c r="I11" s="43">
        <v>2030000</v>
      </c>
    </row>
    <row r="12" spans="2:9" x14ac:dyDescent="0.3">
      <c r="E12" s="40">
        <v>2</v>
      </c>
      <c r="F12" s="41">
        <v>2040000</v>
      </c>
      <c r="H12" s="40">
        <v>2</v>
      </c>
      <c r="I12" s="41">
        <v>2040000</v>
      </c>
    </row>
    <row r="13" spans="2:9" x14ac:dyDescent="0.3">
      <c r="E13" s="42">
        <v>3</v>
      </c>
      <c r="F13" s="43">
        <v>2060000</v>
      </c>
      <c r="H13" s="42">
        <v>3</v>
      </c>
      <c r="I13" s="43">
        <v>2060000</v>
      </c>
    </row>
    <row r="14" spans="2:9" x14ac:dyDescent="0.3">
      <c r="E14" s="40">
        <v>3.5</v>
      </c>
      <c r="F14" s="41">
        <v>2070000</v>
      </c>
      <c r="H14" s="40">
        <v>3.5</v>
      </c>
      <c r="I14" s="41">
        <v>2070000</v>
      </c>
    </row>
    <row r="15" spans="2:9" x14ac:dyDescent="0.3">
      <c r="E15" s="42">
        <v>4</v>
      </c>
      <c r="F15" s="43">
        <v>2080000</v>
      </c>
      <c r="H15" s="42">
        <v>4</v>
      </c>
      <c r="I15" s="43">
        <v>2080000</v>
      </c>
    </row>
    <row r="16" spans="2:9" x14ac:dyDescent="0.3">
      <c r="E16" s="44">
        <v>5</v>
      </c>
      <c r="F16" s="35">
        <v>2100000</v>
      </c>
      <c r="H16" s="44">
        <v>5</v>
      </c>
      <c r="I16" s="35">
        <v>2100000</v>
      </c>
    </row>
    <row r="17" spans="2:7" x14ac:dyDescent="0.3">
      <c r="B17" s="2" t="s">
        <v>62</v>
      </c>
    </row>
    <row r="18" spans="2:7" x14ac:dyDescent="0.3">
      <c r="B18" t="s">
        <v>63</v>
      </c>
    </row>
    <row r="21" spans="2:7" x14ac:dyDescent="0.3">
      <c r="B21" s="47" t="s">
        <v>55</v>
      </c>
      <c r="C21" s="48">
        <v>2000000</v>
      </c>
    </row>
    <row r="22" spans="2:7" x14ac:dyDescent="0.3">
      <c r="B22" s="49" t="s">
        <v>56</v>
      </c>
      <c r="C22" s="49">
        <v>1.5</v>
      </c>
    </row>
    <row r="23" spans="2:7" x14ac:dyDescent="0.3">
      <c r="B23" s="50" t="s">
        <v>64</v>
      </c>
      <c r="C23" s="51">
        <v>10</v>
      </c>
    </row>
    <row r="24" spans="2:7" x14ac:dyDescent="0.3">
      <c r="B24" s="47" t="s">
        <v>57</v>
      </c>
      <c r="C24" s="47">
        <f>C21+((C21*C22)-(C21*C23))/100</f>
        <v>1830000</v>
      </c>
    </row>
    <row r="25" spans="2:7" x14ac:dyDescent="0.3">
      <c r="C25" t="s">
        <v>65</v>
      </c>
    </row>
    <row r="27" spans="2:7" x14ac:dyDescent="0.3">
      <c r="B27" t="s">
        <v>66</v>
      </c>
      <c r="C27" s="46" t="s">
        <v>72</v>
      </c>
    </row>
    <row r="28" spans="2:7" x14ac:dyDescent="0.3">
      <c r="B28" s="57">
        <v>1830000</v>
      </c>
      <c r="C28" s="55" t="s">
        <v>67</v>
      </c>
      <c r="D28" s="55" t="s">
        <v>68</v>
      </c>
      <c r="E28" s="55" t="s">
        <v>69</v>
      </c>
      <c r="F28" s="55" t="s">
        <v>70</v>
      </c>
      <c r="G28" s="56" t="s">
        <v>71</v>
      </c>
    </row>
    <row r="29" spans="2:7" x14ac:dyDescent="0.3">
      <c r="B29" s="8">
        <v>1</v>
      </c>
      <c r="C29" s="8">
        <f t="dataTable" ref="C29:G35" dt2D="1" dtr="1" r1="C23" r2="C22"/>
        <v>1830000</v>
      </c>
      <c r="D29" s="8">
        <v>1830000</v>
      </c>
      <c r="E29" s="8">
        <v>1830000</v>
      </c>
      <c r="F29" s="8">
        <v>1830000</v>
      </c>
      <c r="G29" s="9">
        <v>1830000</v>
      </c>
    </row>
    <row r="30" spans="2:7" x14ac:dyDescent="0.3">
      <c r="B30" s="52">
        <v>1.5</v>
      </c>
      <c r="C30" s="52">
        <v>1830000</v>
      </c>
      <c r="D30" s="52">
        <v>1830000</v>
      </c>
      <c r="E30" s="52">
        <v>1830000</v>
      </c>
      <c r="F30" s="52">
        <v>1830000</v>
      </c>
      <c r="G30" s="53">
        <v>1830000</v>
      </c>
    </row>
    <row r="31" spans="2:7" x14ac:dyDescent="0.3">
      <c r="B31" s="8">
        <v>2</v>
      </c>
      <c r="C31" s="8">
        <v>1830000</v>
      </c>
      <c r="D31" s="8">
        <v>1830000</v>
      </c>
      <c r="E31" s="8">
        <v>1830000</v>
      </c>
      <c r="F31" s="8">
        <v>1830000</v>
      </c>
      <c r="G31" s="9">
        <v>1830000</v>
      </c>
    </row>
    <row r="32" spans="2:7" x14ac:dyDescent="0.3">
      <c r="B32" s="52">
        <v>3</v>
      </c>
      <c r="C32" s="52">
        <v>1830000</v>
      </c>
      <c r="D32" s="52">
        <v>1830000</v>
      </c>
      <c r="E32" s="52">
        <v>1830000</v>
      </c>
      <c r="F32" s="52">
        <v>1830000</v>
      </c>
      <c r="G32" s="53">
        <v>1830000</v>
      </c>
    </row>
    <row r="33" spans="2:7" x14ac:dyDescent="0.3">
      <c r="B33" s="8">
        <v>3.5</v>
      </c>
      <c r="C33" s="8">
        <v>1830000</v>
      </c>
      <c r="D33" s="8">
        <v>1830000</v>
      </c>
      <c r="E33" s="8">
        <v>1830000</v>
      </c>
      <c r="F33" s="8">
        <v>1830000</v>
      </c>
      <c r="G33" s="9">
        <v>1830000</v>
      </c>
    </row>
    <row r="34" spans="2:7" x14ac:dyDescent="0.3">
      <c r="B34" s="52">
        <v>4</v>
      </c>
      <c r="C34" s="52">
        <v>1830000</v>
      </c>
      <c r="D34" s="52">
        <v>1830000</v>
      </c>
      <c r="E34" s="52">
        <v>1830000</v>
      </c>
      <c r="F34" s="52">
        <v>1830000</v>
      </c>
      <c r="G34" s="53">
        <v>1830000</v>
      </c>
    </row>
    <row r="35" spans="2:7" x14ac:dyDescent="0.3">
      <c r="B35" s="54">
        <v>5</v>
      </c>
      <c r="C35" s="54">
        <v>1830000</v>
      </c>
      <c r="D35" s="54">
        <v>1830000</v>
      </c>
      <c r="E35" s="54">
        <v>1830000</v>
      </c>
      <c r="F35" s="54">
        <v>1830000</v>
      </c>
      <c r="G35" s="47">
        <v>1830000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Scenario Summary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</dc:creator>
  <cp:lastModifiedBy>suchi</cp:lastModifiedBy>
  <dcterms:created xsi:type="dcterms:W3CDTF">2026-04-08T14:15:49Z</dcterms:created>
  <dcterms:modified xsi:type="dcterms:W3CDTF">2026-04-09T15:26:21Z</dcterms:modified>
</cp:coreProperties>
</file>